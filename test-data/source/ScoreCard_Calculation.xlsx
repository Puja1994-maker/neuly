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6.xml" ContentType="application/vnd.openxmlformats-officedocument.spreadsheetml.pivotCacheRecords+xml"/>
  <Override PartName="/xl/pivotCache/pivotCacheDefinition17.xml" ContentType="application/vnd.openxmlformats-officedocument.spreadsheetml.pivotCacheDefinition+xml"/>
  <Override PartName="/xl/pivotCache/pivotCacheRecords17.xml" ContentType="application/vnd.openxmlformats-officedocument.spreadsheetml.pivotCacheRecords+xml"/>
  <Override PartName="/xl/pivotCache/pivotCacheDefinition18.xml" ContentType="application/vnd.openxmlformats-officedocument.spreadsheetml.pivotCacheDefinition+xml"/>
  <Override PartName="/xl/pivotCache/pivotCacheRecords18.xml" ContentType="application/vnd.openxmlformats-officedocument.spreadsheetml.pivotCacheRecords+xml"/>
  <Override PartName="/xl/pivotCache/pivotCacheDefinition19.xml" ContentType="application/vnd.openxmlformats-officedocument.spreadsheetml.pivotCacheDefinition+xml"/>
  <Override PartName="/xl/pivotCache/pivotCacheRecords19.xml" ContentType="application/vnd.openxmlformats-officedocument.spreadsheetml.pivotCacheRecords+xml"/>
  <Override PartName="/xl/pivotCache/pivotCacheDefinition20.xml" ContentType="application/vnd.openxmlformats-officedocument.spreadsheetml.pivotCacheDefinition+xml"/>
  <Override PartName="/xl/pivotCache/pivotCacheRecords20.xml" ContentType="application/vnd.openxmlformats-officedocument.spreadsheetml.pivotCacheRecords+xml"/>
  <Override PartName="/xl/pivotCache/pivotCacheDefinition21.xml" ContentType="application/vnd.openxmlformats-officedocument.spreadsheetml.pivotCacheDefinition+xml"/>
  <Override PartName="/xl/pivotCache/pivotCacheRecords21.xml" ContentType="application/vnd.openxmlformats-officedocument.spreadsheetml.pivotCacheRecords+xml"/>
  <Override PartName="/xl/pivotCache/pivotCacheDefinition22.xml" ContentType="application/vnd.openxmlformats-officedocument.spreadsheetml.pivotCacheDefinition+xml"/>
  <Override PartName="/xl/pivotCache/pivotCacheRecords22.xml" ContentType="application/vnd.openxmlformats-officedocument.spreadsheetml.pivotCacheRecords+xml"/>
  <Override PartName="/xl/pivotCache/pivotCacheDefinition23.xml" ContentType="application/vnd.openxmlformats-officedocument.spreadsheetml.pivotCacheDefinition+xml"/>
  <Override PartName="/xl/pivotCache/pivotCacheRecords23.xml" ContentType="application/vnd.openxmlformats-officedocument.spreadsheetml.pivotCacheRecords+xml"/>
  <Override PartName="/xl/pivotCache/pivotCacheDefinition24.xml" ContentType="application/vnd.openxmlformats-officedocument.spreadsheetml.pivotCacheDefinition+xml"/>
  <Override PartName="/xl/pivotCache/pivotCacheRecords24.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4.xml" ContentType="application/vnd.openxmlformats-officedocument.spreadsheetml.table+xml"/>
  <Override PartName="/xl/pivotTables/pivotTable10.xml" ContentType="application/vnd.openxmlformats-officedocument.spreadsheetml.pivotTable+xml"/>
  <Override PartName="/xl/drawings/drawing2.xml" ContentType="application/vnd.openxmlformats-officedocument.drawing+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codeName="ThisWorkbook" defaultThemeVersion="166925"/>
  <mc:AlternateContent xmlns:mc="http://schemas.openxmlformats.org/markup-compatibility/2006">
    <mc:Choice Requires="x15">
      <x15ac:absPath xmlns:x15ac="http://schemas.microsoft.com/office/spreadsheetml/2010/11/ac" url="https://aexonic-my.sharepoint.com/personal/p_bansode_aexonic_com/Documents/Puja/Puja Bansode/Projects/Kanjo/"/>
    </mc:Choice>
  </mc:AlternateContent>
  <xr:revisionPtr revIDLastSave="4117" documentId="14_{85B4A06C-5F08-4B45-A556-3CB9AEA6BBFA}" xr6:coauthVersionLast="47" xr6:coauthVersionMax="47" xr10:uidLastSave="{EB41F025-A43A-4EBB-B7A9-7A4DE2F29FDE}"/>
  <bookViews>
    <workbookView xWindow="-120" yWindow="-120" windowWidth="20730" windowHeight="11160" firstSheet="34" activeTab="29" xr2:uid="{CE27FA16-F20E-4954-B4EC-29B517845436}"/>
  </bookViews>
  <sheets>
    <sheet name="ADHD" sheetId="1" r:id="rId1"/>
    <sheet name="ADHD Snap IV " sheetId="2" r:id="rId2"/>
    <sheet name="MFQ" sheetId="3" r:id="rId3"/>
    <sheet name="Sheet1" sheetId="4" r:id="rId4"/>
    <sheet name="ADHD(new)" sheetId="5" r:id="rId5"/>
    <sheet name="ADHD Snap IV (new)" sheetId="10" r:id="rId6"/>
    <sheet name="Sheet5" sheetId="39" r:id="rId7"/>
    <sheet name="Childhood Autism" sheetId="11" r:id="rId8"/>
    <sheet name="Weiss Functional" sheetId="14" r:id="rId9"/>
    <sheet name="Sheet2" sheetId="15" r:id="rId10"/>
    <sheet name="Detail1" sheetId="45" r:id="rId11"/>
    <sheet name="Weiss_final" sheetId="17" r:id="rId12"/>
    <sheet name="Vanderbilt_assessment" sheetId="61" r:id="rId13"/>
    <sheet name="Sheet4" sheetId="24" r:id="rId14"/>
    <sheet name="Strength(2-4 yrs)" sheetId="21" r:id="rId15"/>
    <sheet name="Strength(4-17 yrs)" sheetId="22" r:id="rId16"/>
    <sheet name="PHQ" sheetId="25" r:id="rId17"/>
    <sheet name="Detail12" sheetId="46" r:id="rId18"/>
    <sheet name="Detail123" sheetId="47" r:id="rId19"/>
    <sheet name="RCADs (2)" sheetId="62" r:id="rId20"/>
    <sheet name="RCADs" sheetId="26" r:id="rId21"/>
    <sheet name="Sheet3" sheetId="31" r:id="rId22"/>
    <sheet name="CEBQ" sheetId="28" r:id="rId23"/>
    <sheet name="Warwick-Edinburgh Mental Well-b" sheetId="32" r:id="rId24"/>
    <sheet name="The Short Warwick-Edinburgh Men" sheetId="33" r:id="rId25"/>
    <sheet name="GAD-7" sheetId="30" r:id="rId26"/>
    <sheet name="PSC-17" sheetId="34" r:id="rId27"/>
    <sheet name="SCARED_Parent" sheetId="37" r:id="rId28"/>
    <sheet name="SCARED_Child" sheetId="35" r:id="rId29"/>
    <sheet name="MSEC" sheetId="38" r:id="rId30"/>
    <sheet name="ADHD Snap IV_Parent_Tracker_1" sheetId="41" r:id="rId31"/>
    <sheet name="DSRS" sheetId="42" r:id="rId32"/>
    <sheet name="ATEC" sheetId="43" r:id="rId33"/>
    <sheet name="Feature_List" sheetId="44" r:id="rId34"/>
    <sheet name="SWBYC_2_Month" sheetId="48" r:id="rId35"/>
    <sheet name="SWBYC_4_Month" sheetId="49" r:id="rId36"/>
    <sheet name="SWBYC_6_Month" sheetId="50" r:id="rId37"/>
    <sheet name="SWBYC_9_MOnth" sheetId="52" r:id="rId38"/>
    <sheet name="SWBYC_12_Month" sheetId="51" r:id="rId39"/>
    <sheet name="SWBYC_15_Month" sheetId="53" r:id="rId40"/>
    <sheet name="SWYC_18_Month" sheetId="54" r:id="rId41"/>
    <sheet name="SWYC_24_Month" sheetId="55" r:id="rId42"/>
    <sheet name="SWYC_30-Month" sheetId="56" r:id="rId43"/>
    <sheet name="SWYC_36_Month" sheetId="57" r:id="rId44"/>
    <sheet name="SWYC_48_mONTH" sheetId="58" r:id="rId45"/>
    <sheet name="SWYC_60_mONTH " sheetId="59" r:id="rId46"/>
    <sheet name="Changes_need to do" sheetId="60" r:id="rId47"/>
  </sheets>
  <definedNames>
    <definedName name="_xlnm._FilterDatabase" localSheetId="0" hidden="1">ADHD!$B$6:$G$32</definedName>
    <definedName name="_xlnm._FilterDatabase" localSheetId="1" hidden="1">'ADHD Snap IV '!$B$6:$B$35</definedName>
    <definedName name="_xlnm._FilterDatabase" localSheetId="30" hidden="1">'ADHD Snap IV_Parent_Tracker_1'!$B$6:$B$35</definedName>
    <definedName name="_xlnm._FilterDatabase" localSheetId="32" hidden="1">ATEC!$B$2:$B$78</definedName>
    <definedName name="_xlnm._FilterDatabase" localSheetId="22" hidden="1">CEBQ!$D$2:$I$39</definedName>
    <definedName name="_xlnm._FilterDatabase" localSheetId="7" hidden="1">'Childhood Autism'!$A$5:$K$43</definedName>
    <definedName name="_xlnm._FilterDatabase" localSheetId="25" hidden="1">'GAD-7'!$C$5:$C$13</definedName>
    <definedName name="_xlnm._FilterDatabase" localSheetId="2" hidden="1">MFQ!$B$4:$B$17</definedName>
    <definedName name="_xlnm._FilterDatabase" localSheetId="29" hidden="1">MSEC!$B$2:$B$21</definedName>
    <definedName name="_xlnm._FilterDatabase" localSheetId="20" hidden="1">RCADs!$A$1:$J$50</definedName>
    <definedName name="_xlnm._FilterDatabase" localSheetId="28" hidden="1">SCARED_Child!$A$1:$F$42</definedName>
    <definedName name="_xlnm._FilterDatabase" localSheetId="27" hidden="1">SCARED_Parent!$A$1:$I$42</definedName>
    <definedName name="_xlnm._FilterDatabase" localSheetId="13" hidden="1">Sheet4!$B$1:$D$102</definedName>
    <definedName name="_xlnm._FilterDatabase" localSheetId="14" hidden="1">'Strength(2-4 yrs)'!$A$5:$AD$31</definedName>
    <definedName name="_xlnm._FilterDatabase" localSheetId="15" hidden="1">'Strength(4-17 yrs)'!$A$3:$H$3</definedName>
    <definedName name="_xlnm._FilterDatabase" localSheetId="34" hidden="1">SWBYC_2_Month!$A$1:$H$184</definedName>
    <definedName name="_xlnm._FilterDatabase" localSheetId="11" hidden="1">Weiss_final!$A$1:$G$83</definedName>
    <definedName name="_xlnm._FilterDatabase" localSheetId="19" hidden="1">'RCADs (2)'!$A$1:$AM$1</definedName>
    <definedName name="abc">Vanderbilt_assessment!$W$1:$X$1</definedName>
    <definedName name="ADHD_Questions_Single">ADHD!$Z:$AA</definedName>
    <definedName name="ATEC_Questions_Group">ATEC!$T:$U</definedName>
    <definedName name="CEBQ_group">CEBQ!$R:$S</definedName>
    <definedName name="Group" localSheetId="19">'RCADs (2)'!$Q:$Q</definedName>
    <definedName name="Group">RCADs!$Q:$Q</definedName>
    <definedName name="q" localSheetId="19">'RCADs (2)'!$Q:$Q</definedName>
    <definedName name="q">RCADs!$Q:$Q</definedName>
    <definedName name="Q_group" localSheetId="19">'RCADs (2)'!$Q:$Q</definedName>
    <definedName name="Q_group">RCADs!$Q:$Q</definedName>
    <definedName name="Questionaries">'Strength(2-4 yrs)'!$Z:$Z</definedName>
    <definedName name="QuestionariesRCADS" localSheetId="19">'RCADs (2)'!$O:$P</definedName>
    <definedName name="QuestionariesRCADS">RCADs!$O:$P</definedName>
    <definedName name="QuestionariesSCARED" localSheetId="27">SCARED_Parent!$AA:$AB</definedName>
    <definedName name="QuestionariesSCARED">SCARED_Child!$AB:$AC</definedName>
    <definedName name="QuestionariesSCARED_Parent">SCARED_Parent!$AA:$AB</definedName>
    <definedName name="QuestionariesStrength2">'Strength(2-4 yrs)'!$Z:$AA</definedName>
    <definedName name="QuestionariesStrength4">'Strength(4-17 yrs)'!$X:$Y</definedName>
    <definedName name="Questions_group" localSheetId="19">'RCADs (2)'!$O:$Q</definedName>
    <definedName name="Questions_group">RCADs!$O:$Q</definedName>
    <definedName name="QuestionsWeiss">Weiss_final!$AB:$AC</definedName>
    <definedName name="StrengthCT">'Strength(2-4 yrs)'!$Z:$AD</definedName>
    <definedName name="StrengthCT4">'Strength(4-17 yrs)'!$X:$AB</definedName>
    <definedName name="StrengthNT">'Strength(2-4 yrs)'!$Z:$AD</definedName>
    <definedName name="StrengthNT4">'Strength(4-17 yrs)'!$X:$Z</definedName>
    <definedName name="StrengthSWT">'Strength(2-4 yrs)'!$Z:$AC</definedName>
    <definedName name="StrengthSWT4">'Strength(4-17 yrs)'!$X:$AA</definedName>
    <definedName name="StrenthNT">'Strength(2-4 yrs)'!$Z:$AB</definedName>
    <definedName name="Vanderbilt_question">Vanderbilt_assessment!$W$1:$X$1</definedName>
    <definedName name="vanderbilt_questionarrie">Vanderbilt_assessment!$W:$X</definedName>
    <definedName name="WeissGroup">Sheet4!$R:$S</definedName>
  </definedNames>
  <calcPr calcId="191028"/>
  <pivotCaches>
    <pivotCache cacheId="2173" r:id="rId48"/>
    <pivotCache cacheId="2174" r:id="rId49"/>
    <pivotCache cacheId="2175" r:id="rId50"/>
    <pivotCache cacheId="2176" r:id="rId51"/>
    <pivotCache cacheId="2177" r:id="rId52"/>
    <pivotCache cacheId="2178" r:id="rId53"/>
    <pivotCache cacheId="2179" r:id="rId54"/>
    <pivotCache cacheId="2180" r:id="rId55"/>
    <pivotCache cacheId="2181" r:id="rId56"/>
    <pivotCache cacheId="2182" r:id="rId57"/>
    <pivotCache cacheId="2183" r:id="rId58"/>
    <pivotCache cacheId="2184" r:id="rId59"/>
    <pivotCache cacheId="2185" r:id="rId60"/>
    <pivotCache cacheId="2186" r:id="rId61"/>
    <pivotCache cacheId="2187" r:id="rId62"/>
    <pivotCache cacheId="2188" r:id="rId63"/>
    <pivotCache cacheId="2189" r:id="rId64"/>
    <pivotCache cacheId="2190" r:id="rId65"/>
    <pivotCache cacheId="2191" r:id="rId66"/>
    <pivotCache cacheId="2192" r:id="rId67"/>
    <pivotCache cacheId="2193" r:id="rId68"/>
    <pivotCache cacheId="2194" r:id="rId69"/>
    <pivotCache cacheId="2195" r:id="rId70"/>
    <pivotCache cacheId="2196" r:id="rId7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48" l="1"/>
  <c r="H16" i="48"/>
  <c r="H33" i="48" a="1"/>
  <c r="H33" i="48"/>
  <c r="H32" i="48" a="1"/>
  <c r="H32" i="48"/>
  <c r="H32" i="51" a="1"/>
  <c r="H32" i="51"/>
  <c r="H31" i="51" a="1"/>
  <c r="H31" i="51"/>
  <c r="S10" i="52"/>
  <c r="S9" i="52"/>
  <c r="S8" i="52"/>
  <c r="P11" i="48"/>
  <c r="Q12" i="48" s="1"/>
  <c r="V26" i="62"/>
  <c r="I2" i="62"/>
  <c r="I48" i="62"/>
  <c r="H48" i="62"/>
  <c r="G48" i="62"/>
  <c r="I47" i="62"/>
  <c r="H47" i="62"/>
  <c r="G47" i="62"/>
  <c r="I46" i="62"/>
  <c r="H46" i="62"/>
  <c r="G46" i="62"/>
  <c r="I45" i="62"/>
  <c r="H45" i="62"/>
  <c r="G45" i="62"/>
  <c r="I44" i="62"/>
  <c r="H44" i="62"/>
  <c r="G44" i="62"/>
  <c r="I43" i="62"/>
  <c r="H43" i="62"/>
  <c r="G43" i="62"/>
  <c r="I42" i="62"/>
  <c r="H42" i="62"/>
  <c r="G42" i="62"/>
  <c r="I41" i="62"/>
  <c r="H41" i="62"/>
  <c r="G41" i="62"/>
  <c r="I40" i="62"/>
  <c r="H40" i="62"/>
  <c r="G40" i="62"/>
  <c r="I39" i="62"/>
  <c r="H39" i="62"/>
  <c r="G39" i="62"/>
  <c r="I38" i="62"/>
  <c r="H38" i="62"/>
  <c r="G38" i="62"/>
  <c r="I37" i="62"/>
  <c r="H37" i="62"/>
  <c r="G37" i="62"/>
  <c r="I36" i="62"/>
  <c r="H36" i="62"/>
  <c r="G36" i="62"/>
  <c r="I35" i="62"/>
  <c r="H35" i="62"/>
  <c r="G35" i="62"/>
  <c r="I34" i="62"/>
  <c r="H34" i="62"/>
  <c r="G34" i="62"/>
  <c r="I33" i="62"/>
  <c r="H33" i="62"/>
  <c r="G33" i="62"/>
  <c r="I32" i="62"/>
  <c r="H32" i="62"/>
  <c r="G32" i="62"/>
  <c r="I31" i="62"/>
  <c r="H31" i="62"/>
  <c r="G31" i="62"/>
  <c r="I30" i="62"/>
  <c r="H30" i="62"/>
  <c r="G30" i="62"/>
  <c r="I29" i="62"/>
  <c r="H29" i="62"/>
  <c r="G29" i="62"/>
  <c r="I28" i="62"/>
  <c r="H28" i="62"/>
  <c r="G28" i="62"/>
  <c r="I27" i="62"/>
  <c r="H27" i="62"/>
  <c r="G27" i="62"/>
  <c r="I26" i="62"/>
  <c r="H26" i="62"/>
  <c r="G26" i="62"/>
  <c r="I25" i="62"/>
  <c r="H25" i="62"/>
  <c r="G25" i="62"/>
  <c r="I24" i="62"/>
  <c r="H24" i="62"/>
  <c r="G24" i="62"/>
  <c r="I23" i="62"/>
  <c r="H23" i="62"/>
  <c r="G23" i="62"/>
  <c r="I22" i="62"/>
  <c r="H22" i="62"/>
  <c r="G22" i="62"/>
  <c r="I21" i="62"/>
  <c r="H21" i="62"/>
  <c r="G21" i="62"/>
  <c r="I20" i="62"/>
  <c r="H20" i="62"/>
  <c r="G20" i="62"/>
  <c r="I19" i="62"/>
  <c r="H19" i="62"/>
  <c r="G19" i="62"/>
  <c r="I18" i="62"/>
  <c r="H18" i="62"/>
  <c r="G18" i="62"/>
  <c r="I17" i="62"/>
  <c r="H17" i="62"/>
  <c r="G17" i="62"/>
  <c r="I16" i="62"/>
  <c r="H16" i="62"/>
  <c r="G16" i="62"/>
  <c r="I15" i="62"/>
  <c r="H15" i="62"/>
  <c r="G15" i="62"/>
  <c r="I14" i="62"/>
  <c r="H14" i="62"/>
  <c r="G14" i="62"/>
  <c r="I13" i="62"/>
  <c r="H13" i="62"/>
  <c r="G13" i="62"/>
  <c r="AB12" i="62"/>
  <c r="I12" i="62"/>
  <c r="H12" i="62"/>
  <c r="G12" i="62"/>
  <c r="AB11" i="62"/>
  <c r="I11" i="62"/>
  <c r="H11" i="62"/>
  <c r="G11" i="62"/>
  <c r="AB10" i="62"/>
  <c r="I10" i="62"/>
  <c r="H10" i="62"/>
  <c r="G10" i="62"/>
  <c r="AB9" i="62"/>
  <c r="I9" i="62"/>
  <c r="H9" i="62"/>
  <c r="G9" i="62"/>
  <c r="AB8" i="62"/>
  <c r="I8" i="62"/>
  <c r="H8" i="62"/>
  <c r="G8" i="62"/>
  <c r="AB7" i="62"/>
  <c r="I7" i="62"/>
  <c r="H7" i="62"/>
  <c r="G7" i="62"/>
  <c r="AB6" i="62"/>
  <c r="I6" i="62"/>
  <c r="H6" i="62"/>
  <c r="G6" i="62"/>
  <c r="AB5" i="62"/>
  <c r="AB13" i="62" s="1"/>
  <c r="I5" i="62"/>
  <c r="H5" i="62"/>
  <c r="G5" i="62"/>
  <c r="I4" i="62"/>
  <c r="H4" i="62"/>
  <c r="G4" i="62"/>
  <c r="I3" i="62"/>
  <c r="H3" i="62"/>
  <c r="G3" i="62"/>
  <c r="H2" i="62"/>
  <c r="G2" i="62"/>
  <c r="U9" i="61"/>
  <c r="U6" i="61"/>
  <c r="U5" i="61"/>
  <c r="U4" i="61"/>
  <c r="U7" i="61"/>
  <c r="U8" i="61"/>
  <c r="M3" i="61"/>
  <c r="M4" i="61"/>
  <c r="M5" i="61"/>
  <c r="M6" i="61"/>
  <c r="M7" i="61"/>
  <c r="M8" i="61"/>
  <c r="M9" i="61"/>
  <c r="M10" i="61"/>
  <c r="M11" i="61"/>
  <c r="M12" i="61"/>
  <c r="M13" i="61"/>
  <c r="M14" i="61"/>
  <c r="M15" i="61"/>
  <c r="M16" i="61"/>
  <c r="M17" i="61"/>
  <c r="M18" i="61"/>
  <c r="M19" i="61"/>
  <c r="M20" i="61"/>
  <c r="M21" i="61"/>
  <c r="M22" i="61"/>
  <c r="M23" i="61"/>
  <c r="M24" i="61"/>
  <c r="M25" i="61"/>
  <c r="M26" i="61"/>
  <c r="M27" i="61"/>
  <c r="M28" i="61"/>
  <c r="M29" i="61"/>
  <c r="M30" i="61"/>
  <c r="M31" i="61"/>
  <c r="M32" i="61"/>
  <c r="M33" i="61"/>
  <c r="M34" i="61"/>
  <c r="M35" i="61"/>
  <c r="M36" i="61"/>
  <c r="M37" i="61"/>
  <c r="M38" i="61"/>
  <c r="M39" i="61"/>
  <c r="M40" i="61"/>
  <c r="M41" i="61"/>
  <c r="M42" i="61"/>
  <c r="M43" i="61"/>
  <c r="M44" i="61"/>
  <c r="M45" i="61"/>
  <c r="M46" i="61"/>
  <c r="M47" i="61"/>
  <c r="M48" i="61"/>
  <c r="M49" i="61"/>
  <c r="M50" i="61"/>
  <c r="M51" i="61"/>
  <c r="M52" i="61"/>
  <c r="M53" i="61"/>
  <c r="M54" i="61"/>
  <c r="M55" i="61"/>
  <c r="M56" i="61"/>
  <c r="M2" i="61"/>
  <c r="X6" i="17"/>
  <c r="X11" i="17"/>
  <c r="X10" i="17"/>
  <c r="X9" i="17"/>
  <c r="X8" i="17"/>
  <c r="X7" i="17"/>
  <c r="X5" i="17"/>
  <c r="W8" i="17"/>
  <c r="I2" i="25"/>
  <c r="Q11" i="59"/>
  <c r="Q10" i="59"/>
  <c r="Q9" i="59"/>
  <c r="Q8" i="59"/>
  <c r="Q7" i="59"/>
  <c r="Q6" i="59"/>
  <c r="H39" i="59"/>
  <c r="H38" i="59"/>
  <c r="H37" i="59"/>
  <c r="H36" i="59"/>
  <c r="H35" i="59"/>
  <c r="H34" i="59"/>
  <c r="H33" i="59"/>
  <c r="H32" i="59"/>
  <c r="H31" i="59"/>
  <c r="H30" i="59"/>
  <c r="H29" i="59"/>
  <c r="H28" i="59"/>
  <c r="H27" i="59"/>
  <c r="H26" i="59"/>
  <c r="H25" i="59"/>
  <c r="H24" i="59"/>
  <c r="H23" i="59"/>
  <c r="H22" i="59"/>
  <c r="H21" i="59"/>
  <c r="H20" i="59"/>
  <c r="H19" i="59"/>
  <c r="H18" i="59"/>
  <c r="H17" i="59"/>
  <c r="H16" i="59"/>
  <c r="H15" i="59"/>
  <c r="H14" i="59"/>
  <c r="H13" i="59"/>
  <c r="H12" i="59"/>
  <c r="H11" i="59"/>
  <c r="H10" i="59"/>
  <c r="H9" i="59"/>
  <c r="H8" i="59"/>
  <c r="H7" i="59"/>
  <c r="H6" i="59"/>
  <c r="H5" i="59"/>
  <c r="H4" i="59"/>
  <c r="H3" i="59"/>
  <c r="P11" i="58"/>
  <c r="P10" i="58"/>
  <c r="P9" i="58"/>
  <c r="P8" i="58"/>
  <c r="P7" i="58"/>
  <c r="P6" i="58"/>
  <c r="H39" i="58"/>
  <c r="H38" i="58"/>
  <c r="H37" i="58"/>
  <c r="H36" i="58"/>
  <c r="H35" i="58"/>
  <c r="H34" i="58"/>
  <c r="H33" i="58"/>
  <c r="H32" i="58"/>
  <c r="H31" i="58"/>
  <c r="H30" i="58"/>
  <c r="H29" i="58"/>
  <c r="H28" i="58"/>
  <c r="H27" i="58"/>
  <c r="H26" i="58"/>
  <c r="H25" i="58"/>
  <c r="H24" i="58"/>
  <c r="H23" i="58"/>
  <c r="H22" i="58"/>
  <c r="H21" i="58"/>
  <c r="H20" i="58"/>
  <c r="H19" i="58"/>
  <c r="H18" i="58"/>
  <c r="H17" i="58"/>
  <c r="H16" i="58"/>
  <c r="H15" i="58"/>
  <c r="H14" i="58"/>
  <c r="H13" i="58"/>
  <c r="H12" i="58"/>
  <c r="H11" i="58"/>
  <c r="H10" i="58"/>
  <c r="H9" i="58"/>
  <c r="H8" i="58"/>
  <c r="H7" i="58"/>
  <c r="H6" i="58"/>
  <c r="H5" i="58"/>
  <c r="H4" i="58"/>
  <c r="H3" i="58"/>
  <c r="S10" i="57"/>
  <c r="S9" i="57"/>
  <c r="S8" i="57"/>
  <c r="S7" i="57"/>
  <c r="S6" i="57"/>
  <c r="S5" i="57"/>
  <c r="H39" i="57"/>
  <c r="H38" i="57"/>
  <c r="H37" i="57"/>
  <c r="H36" i="57"/>
  <c r="H35" i="57"/>
  <c r="H34" i="57"/>
  <c r="H33" i="57"/>
  <c r="H32" i="57"/>
  <c r="H31" i="57"/>
  <c r="H30" i="57"/>
  <c r="H29" i="57"/>
  <c r="H28" i="57"/>
  <c r="H27" i="57"/>
  <c r="H26" i="57"/>
  <c r="H25" i="57"/>
  <c r="H24" i="57"/>
  <c r="H23" i="57"/>
  <c r="H22" i="57"/>
  <c r="H21" i="57"/>
  <c r="H20" i="57"/>
  <c r="H19" i="57"/>
  <c r="H18" i="57"/>
  <c r="H17" i="57"/>
  <c r="H16" i="57"/>
  <c r="H15" i="57"/>
  <c r="H14" i="57"/>
  <c r="H13" i="57"/>
  <c r="H12" i="57"/>
  <c r="H11" i="57"/>
  <c r="H10" i="57"/>
  <c r="H9" i="57"/>
  <c r="H8" i="57"/>
  <c r="H7" i="57"/>
  <c r="H6" i="57"/>
  <c r="H5" i="57"/>
  <c r="H4" i="57"/>
  <c r="H3" i="57"/>
  <c r="R16" i="56"/>
  <c r="R15" i="56"/>
  <c r="R14" i="56"/>
  <c r="R13" i="56"/>
  <c r="R12" i="56"/>
  <c r="R11" i="56"/>
  <c r="R10" i="56"/>
  <c r="H44" i="56"/>
  <c r="H43" i="56"/>
  <c r="H42" i="56"/>
  <c r="H41" i="56"/>
  <c r="H40" i="56"/>
  <c r="H39" i="56"/>
  <c r="H38" i="56"/>
  <c r="H37" i="56"/>
  <c r="H36" i="56"/>
  <c r="H35" i="56"/>
  <c r="H34" i="56"/>
  <c r="H33" i="56"/>
  <c r="H32" i="56"/>
  <c r="H31" i="56"/>
  <c r="H30" i="56"/>
  <c r="H29" i="56"/>
  <c r="H28" i="56"/>
  <c r="H27" i="56"/>
  <c r="H26" i="56"/>
  <c r="H25" i="56"/>
  <c r="H24" i="56"/>
  <c r="H23" i="56"/>
  <c r="H22" i="56"/>
  <c r="H21" i="56"/>
  <c r="H20" i="56"/>
  <c r="H19" i="56"/>
  <c r="H18" i="56"/>
  <c r="H17" i="56"/>
  <c r="H16" i="56"/>
  <c r="H15" i="56"/>
  <c r="H14" i="56"/>
  <c r="H13" i="56"/>
  <c r="H12" i="56"/>
  <c r="H11" i="56"/>
  <c r="H10" i="56"/>
  <c r="H9" i="56"/>
  <c r="H8" i="56"/>
  <c r="H7" i="56"/>
  <c r="H6" i="56"/>
  <c r="H5" i="56"/>
  <c r="H4" i="56"/>
  <c r="H3" i="56"/>
  <c r="T12" i="55"/>
  <c r="T11" i="55"/>
  <c r="T10" i="55"/>
  <c r="T9" i="55"/>
  <c r="T8" i="55"/>
  <c r="T7" i="55"/>
  <c r="T6" i="55"/>
  <c r="H4" i="55"/>
  <c r="H5" i="55"/>
  <c r="H6" i="55"/>
  <c r="H7" i="55"/>
  <c r="H8" i="55"/>
  <c r="H9" i="55"/>
  <c r="H10" i="55"/>
  <c r="H11" i="55"/>
  <c r="H12" i="55"/>
  <c r="H13" i="55"/>
  <c r="H14" i="55"/>
  <c r="H15" i="55"/>
  <c r="H16" i="55"/>
  <c r="H17" i="55"/>
  <c r="H18" i="55"/>
  <c r="H19" i="55"/>
  <c r="H20" i="55"/>
  <c r="H21" i="55"/>
  <c r="H22" i="55"/>
  <c r="H23" i="55"/>
  <c r="H24" i="55"/>
  <c r="H25" i="55"/>
  <c r="H26" i="55"/>
  <c r="H27" i="55"/>
  <c r="H28" i="55"/>
  <c r="H29" i="55"/>
  <c r="H30" i="55"/>
  <c r="H31" i="55"/>
  <c r="H32" i="55"/>
  <c r="H33" i="55"/>
  <c r="H34" i="55"/>
  <c r="H35" i="55"/>
  <c r="H36" i="55"/>
  <c r="H37" i="55"/>
  <c r="H38" i="55"/>
  <c r="H39" i="55"/>
  <c r="H40" i="55"/>
  <c r="H41" i="55"/>
  <c r="H42" i="55"/>
  <c r="H43" i="55"/>
  <c r="H44" i="55"/>
  <c r="H3" i="55"/>
  <c r="Q10" i="54"/>
  <c r="Q5" i="54"/>
  <c r="Q11" i="54"/>
  <c r="Q9" i="54"/>
  <c r="Q8" i="54"/>
  <c r="Q7" i="54"/>
  <c r="Q6" i="54"/>
  <c r="H4" i="54"/>
  <c r="H5" i="54"/>
  <c r="H6" i="54"/>
  <c r="H7" i="54"/>
  <c r="H8" i="54"/>
  <c r="H9" i="54"/>
  <c r="H10" i="54"/>
  <c r="H11" i="54"/>
  <c r="H12" i="54"/>
  <c r="H13" i="54"/>
  <c r="H14" i="54"/>
  <c r="H15" i="54"/>
  <c r="H16" i="54"/>
  <c r="H17" i="54"/>
  <c r="H18" i="54"/>
  <c r="H19" i="54"/>
  <c r="H20" i="54"/>
  <c r="H21" i="54"/>
  <c r="H22" i="54"/>
  <c r="H23" i="54"/>
  <c r="H24" i="54"/>
  <c r="H25" i="54"/>
  <c r="H26" i="54"/>
  <c r="H27" i="54"/>
  <c r="H28" i="54"/>
  <c r="H29" i="54"/>
  <c r="H30" i="54"/>
  <c r="H31" i="54"/>
  <c r="H32" i="54"/>
  <c r="H33" i="54"/>
  <c r="H34" i="54"/>
  <c r="H35" i="54"/>
  <c r="H36" i="54"/>
  <c r="H37" i="54"/>
  <c r="H38" i="54"/>
  <c r="H39" i="54"/>
  <c r="H40" i="54"/>
  <c r="H41" i="54"/>
  <c r="H42" i="54"/>
  <c r="H43" i="54"/>
  <c r="H44" i="54"/>
  <c r="H3" i="54"/>
  <c r="Q12" i="53"/>
  <c r="Q11" i="53"/>
  <c r="Q10" i="53"/>
  <c r="Q9" i="53"/>
  <c r="Q8" i="53"/>
  <c r="Q6" i="53"/>
  <c r="R6" i="53" s="1"/>
  <c r="Q5" i="53"/>
  <c r="R5" i="53" s="1"/>
  <c r="Q4" i="53"/>
  <c r="R4" i="53" s="1"/>
  <c r="H4" i="53"/>
  <c r="H5" i="53"/>
  <c r="H6" i="53"/>
  <c r="H7" i="53"/>
  <c r="H8" i="53"/>
  <c r="H9" i="53"/>
  <c r="H10" i="53"/>
  <c r="H11" i="53"/>
  <c r="H12" i="53"/>
  <c r="H13" i="53"/>
  <c r="H14" i="53"/>
  <c r="H15" i="53"/>
  <c r="H16" i="53"/>
  <c r="H17" i="53"/>
  <c r="H18" i="53"/>
  <c r="H19" i="53"/>
  <c r="H20" i="53"/>
  <c r="H21" i="53"/>
  <c r="H22" i="53"/>
  <c r="H23" i="53"/>
  <c r="H24" i="53"/>
  <c r="H25" i="53"/>
  <c r="H26" i="53"/>
  <c r="H27" i="53"/>
  <c r="H28" i="53"/>
  <c r="H29" i="53"/>
  <c r="H30" i="53"/>
  <c r="H31" i="53"/>
  <c r="H32" i="53"/>
  <c r="H3" i="53"/>
  <c r="P15" i="51"/>
  <c r="P14" i="51"/>
  <c r="P13" i="51"/>
  <c r="P12" i="51"/>
  <c r="P11" i="51"/>
  <c r="P9" i="51"/>
  <c r="Q9" i="51" s="1"/>
  <c r="P8" i="51"/>
  <c r="Q8" i="51" s="1"/>
  <c r="P7" i="51"/>
  <c r="Q7" i="51" s="1"/>
  <c r="H4" i="51"/>
  <c r="H5" i="51"/>
  <c r="H6" i="51"/>
  <c r="H7" i="51"/>
  <c r="H8" i="51"/>
  <c r="H9" i="51"/>
  <c r="H10" i="51"/>
  <c r="H11" i="51"/>
  <c r="H12" i="51"/>
  <c r="H13" i="51"/>
  <c r="H14" i="51"/>
  <c r="H15" i="51"/>
  <c r="H16" i="51"/>
  <c r="H17" i="51"/>
  <c r="H18" i="51"/>
  <c r="H19" i="51"/>
  <c r="H20" i="51"/>
  <c r="H21" i="51"/>
  <c r="H22" i="51"/>
  <c r="H23" i="51"/>
  <c r="H24" i="51"/>
  <c r="H25" i="51"/>
  <c r="H26" i="51"/>
  <c r="H27" i="51"/>
  <c r="H28" i="51"/>
  <c r="H29" i="51"/>
  <c r="H30" i="51"/>
  <c r="H3" i="51"/>
  <c r="R16" i="52"/>
  <c r="R15" i="52"/>
  <c r="R14" i="52"/>
  <c r="R13" i="52"/>
  <c r="R12" i="52"/>
  <c r="R10" i="52"/>
  <c r="R9" i="52"/>
  <c r="R8" i="52"/>
  <c r="H4" i="52"/>
  <c r="H5" i="52"/>
  <c r="H6" i="52"/>
  <c r="H7" i="52"/>
  <c r="H8" i="52"/>
  <c r="H9" i="52"/>
  <c r="H10" i="52"/>
  <c r="H11" i="52"/>
  <c r="H12" i="52"/>
  <c r="H13" i="52"/>
  <c r="H14" i="52"/>
  <c r="H15" i="52"/>
  <c r="H16" i="52"/>
  <c r="H17" i="52"/>
  <c r="H18" i="52"/>
  <c r="H19" i="52"/>
  <c r="H20" i="52"/>
  <c r="H21" i="52"/>
  <c r="H22" i="52"/>
  <c r="H23" i="52"/>
  <c r="H24" i="52"/>
  <c r="H25" i="52"/>
  <c r="H26" i="52"/>
  <c r="H27" i="52"/>
  <c r="H28" i="52"/>
  <c r="H29" i="52"/>
  <c r="H30" i="52"/>
  <c r="H31" i="52"/>
  <c r="H32" i="52"/>
  <c r="H33" i="52"/>
  <c r="H3" i="52"/>
  <c r="R16" i="50"/>
  <c r="R15" i="50"/>
  <c r="R14" i="50"/>
  <c r="R13" i="50"/>
  <c r="R12" i="50"/>
  <c r="R10" i="50"/>
  <c r="S10" i="50" s="1"/>
  <c r="R9" i="50"/>
  <c r="S9" i="50" s="1"/>
  <c r="R8" i="50"/>
  <c r="S8" i="50" s="1"/>
  <c r="H30" i="50"/>
  <c r="H31" i="50"/>
  <c r="H32" i="50"/>
  <c r="H33" i="50"/>
  <c r="H25" i="50"/>
  <c r="H26" i="50"/>
  <c r="H27" i="50"/>
  <c r="H28" i="50"/>
  <c r="H29" i="50"/>
  <c r="H21" i="50"/>
  <c r="H22" i="50"/>
  <c r="H23" i="50"/>
  <c r="H24" i="50"/>
  <c r="H17" i="50"/>
  <c r="H18" i="50"/>
  <c r="H19" i="50"/>
  <c r="H20" i="50"/>
  <c r="H4" i="50"/>
  <c r="H5" i="50"/>
  <c r="H6" i="50"/>
  <c r="H7" i="50"/>
  <c r="H8" i="50"/>
  <c r="H9" i="50"/>
  <c r="H10" i="50"/>
  <c r="H11" i="50"/>
  <c r="H12" i="50"/>
  <c r="H13" i="50"/>
  <c r="H14" i="50"/>
  <c r="H15" i="50"/>
  <c r="H16" i="50"/>
  <c r="H3" i="50"/>
  <c r="R10" i="49"/>
  <c r="H25" i="49"/>
  <c r="H26" i="49"/>
  <c r="H27" i="49"/>
  <c r="H28" i="49"/>
  <c r="H29" i="49"/>
  <c r="H30" i="49"/>
  <c r="H31" i="49"/>
  <c r="H32" i="49"/>
  <c r="H33" i="49"/>
  <c r="R14" i="49"/>
  <c r="R13" i="49"/>
  <c r="R12" i="49"/>
  <c r="R11" i="49"/>
  <c r="R8" i="49"/>
  <c r="R7" i="49"/>
  <c r="R6" i="49"/>
  <c r="H21" i="49"/>
  <c r="H22" i="49"/>
  <c r="H23" i="49"/>
  <c r="H24" i="49"/>
  <c r="H17" i="49"/>
  <c r="H18" i="49"/>
  <c r="H19" i="49"/>
  <c r="H20" i="49"/>
  <c r="H13" i="49"/>
  <c r="H14" i="49"/>
  <c r="H15" i="49"/>
  <c r="H16" i="49"/>
  <c r="H4" i="49"/>
  <c r="H5" i="49"/>
  <c r="H6" i="49"/>
  <c r="H7" i="49"/>
  <c r="H8" i="49"/>
  <c r="H9" i="49"/>
  <c r="H10" i="49"/>
  <c r="H11" i="49"/>
  <c r="H12" i="49"/>
  <c r="H3" i="49"/>
  <c r="P19" i="48"/>
  <c r="P18" i="48"/>
  <c r="P17" i="48"/>
  <c r="P15" i="48"/>
  <c r="H25" i="48"/>
  <c r="P14" i="48"/>
  <c r="H27" i="48"/>
  <c r="H28" i="48"/>
  <c r="H26" i="48"/>
  <c r="H31" i="48"/>
  <c r="H30" i="48"/>
  <c r="H29" i="48"/>
  <c r="H4" i="48"/>
  <c r="H5" i="48"/>
  <c r="H6" i="48"/>
  <c r="H7" i="48"/>
  <c r="H8" i="48"/>
  <c r="H9" i="48"/>
  <c r="H10" i="48"/>
  <c r="H11" i="48"/>
  <c r="H12" i="48"/>
  <c r="H13" i="48"/>
  <c r="H14" i="48"/>
  <c r="H15" i="48"/>
  <c r="H17" i="48"/>
  <c r="H18" i="48"/>
  <c r="H19" i="48"/>
  <c r="H20" i="48"/>
  <c r="H21" i="48"/>
  <c r="H22" i="48"/>
  <c r="H23" i="48"/>
  <c r="H24" i="48"/>
  <c r="H3" i="48"/>
  <c r="P12" i="48"/>
  <c r="P10" i="48"/>
  <c r="I3" i="26"/>
  <c r="I4" i="26"/>
  <c r="I5"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2" i="26"/>
  <c r="H27" i="22"/>
  <c r="H16" i="22"/>
  <c r="H11" i="22"/>
  <c r="H6" i="22"/>
  <c r="H29" i="22"/>
  <c r="H6" i="21"/>
  <c r="H7" i="21"/>
  <c r="H8" i="21"/>
  <c r="H9" i="21"/>
  <c r="H10" i="21"/>
  <c r="H11" i="21"/>
  <c r="H12" i="21"/>
  <c r="H13" i="21"/>
  <c r="H14" i="21"/>
  <c r="H15" i="21"/>
  <c r="H16" i="21"/>
  <c r="H17" i="21"/>
  <c r="H18" i="21"/>
  <c r="H19" i="21"/>
  <c r="H20" i="21"/>
  <c r="H21" i="21"/>
  <c r="H22" i="21"/>
  <c r="H23" i="21"/>
  <c r="H24" i="21"/>
  <c r="H25" i="21"/>
  <c r="H26" i="21"/>
  <c r="H27" i="21"/>
  <c r="H28" i="21"/>
  <c r="H29" i="21"/>
  <c r="H30" i="21"/>
  <c r="W5" i="17"/>
  <c r="W11" i="17"/>
  <c r="W10" i="17"/>
  <c r="W7" i="17"/>
  <c r="W6" i="17"/>
  <c r="W9" i="17"/>
  <c r="G14" i="17"/>
  <c r="G15" i="17"/>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6" i="11"/>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4" i="17"/>
  <c r="G33" i="17"/>
  <c r="I8" i="2"/>
  <c r="G29" i="2"/>
  <c r="G30" i="2"/>
  <c r="G31" i="2"/>
  <c r="G32" i="2"/>
  <c r="G33" i="2"/>
  <c r="G34" i="2"/>
  <c r="G35" i="2"/>
  <c r="G28" i="2"/>
  <c r="G19" i="2"/>
  <c r="G20" i="2"/>
  <c r="G21" i="2"/>
  <c r="G22" i="2"/>
  <c r="G23" i="2"/>
  <c r="G24" i="2"/>
  <c r="G25" i="2"/>
  <c r="G26" i="2"/>
  <c r="G18" i="2"/>
  <c r="G9" i="2"/>
  <c r="G10" i="2"/>
  <c r="G11" i="2"/>
  <c r="G12" i="2"/>
  <c r="G13" i="2"/>
  <c r="G14" i="2"/>
  <c r="G15" i="2"/>
  <c r="G16" i="2"/>
  <c r="G8" i="2"/>
  <c r="I28" i="1"/>
  <c r="I18" i="1"/>
  <c r="I8" i="1"/>
  <c r="J28" i="1"/>
  <c r="J18" i="1"/>
  <c r="J8" i="1"/>
  <c r="H33" i="1"/>
  <c r="H34" i="1"/>
  <c r="H35" i="1"/>
  <c r="G29" i="1"/>
  <c r="G30" i="1"/>
  <c r="G31" i="1"/>
  <c r="G32" i="1"/>
  <c r="G33" i="1"/>
  <c r="G34" i="1"/>
  <c r="G35" i="1"/>
  <c r="G28" i="1"/>
  <c r="H26" i="1"/>
  <c r="H19" i="1"/>
  <c r="H20" i="1"/>
  <c r="H21" i="1"/>
  <c r="H22" i="1"/>
  <c r="H23" i="1"/>
  <c r="H24" i="1"/>
  <c r="H25" i="1"/>
  <c r="H18" i="1"/>
  <c r="G22" i="1"/>
  <c r="G23" i="1"/>
  <c r="G24" i="1"/>
  <c r="G25" i="1"/>
  <c r="G26" i="1"/>
  <c r="G21" i="1"/>
  <c r="G20" i="1"/>
  <c r="G19" i="1"/>
  <c r="G18" i="1"/>
  <c r="G9" i="1"/>
  <c r="G10" i="1"/>
  <c r="G11" i="1"/>
  <c r="G12" i="1"/>
  <c r="G13" i="1"/>
  <c r="G14" i="1"/>
  <c r="G15" i="1"/>
  <c r="G16" i="1"/>
  <c r="G8" i="1"/>
  <c r="H8" i="1"/>
  <c r="K26" i="1"/>
  <c r="K31" i="1"/>
  <c r="K25" i="1"/>
  <c r="K20" i="1"/>
  <c r="K24" i="1"/>
  <c r="K21" i="1"/>
  <c r="K22" i="1"/>
  <c r="K23" i="1"/>
  <c r="K33" i="1"/>
  <c r="K34" i="1"/>
  <c r="K35" i="1"/>
  <c r="K9" i="1"/>
  <c r="K10" i="1"/>
  <c r="K11" i="1"/>
  <c r="K12" i="1"/>
  <c r="K13" i="1"/>
  <c r="K14" i="1"/>
  <c r="K15" i="1"/>
  <c r="K16" i="1"/>
  <c r="K8" i="1"/>
  <c r="K18" i="1"/>
  <c r="K19" i="1"/>
  <c r="K28" i="1"/>
  <c r="K29" i="1"/>
  <c r="K30" i="1"/>
  <c r="K32" i="1"/>
  <c r="G29" i="41"/>
  <c r="G30" i="41"/>
  <c r="G31" i="41"/>
  <c r="G32" i="41"/>
  <c r="G33" i="41"/>
  <c r="G34" i="41"/>
  <c r="G35" i="41"/>
  <c r="G28" i="41"/>
  <c r="G19" i="41"/>
  <c r="G20" i="41"/>
  <c r="G21" i="41"/>
  <c r="G22" i="41"/>
  <c r="G23" i="41"/>
  <c r="G24" i="41"/>
  <c r="G25" i="41"/>
  <c r="G26" i="41"/>
  <c r="G18" i="41"/>
  <c r="G9" i="41"/>
  <c r="G10" i="41"/>
  <c r="G11" i="41"/>
  <c r="G12" i="41"/>
  <c r="G13" i="41"/>
  <c r="G14" i="41"/>
  <c r="G15" i="41"/>
  <c r="G16" i="41"/>
  <c r="G8" i="41"/>
  <c r="I18" i="41"/>
  <c r="I28" i="41"/>
  <c r="I8" i="41"/>
  <c r="U11" i="33"/>
  <c r="Z3" i="32"/>
  <c r="Z4" i="32"/>
  <c r="Z5" i="32"/>
  <c r="Z6" i="32"/>
  <c r="Z7" i="32"/>
  <c r="Z8" i="32"/>
  <c r="Z9" i="32"/>
  <c r="Z10" i="32"/>
  <c r="Z11" i="32"/>
  <c r="Z12" i="32"/>
  <c r="Z13" i="32"/>
  <c r="Z14" i="32"/>
  <c r="Z15" i="32"/>
  <c r="Z2" i="32"/>
  <c r="U10" i="33"/>
  <c r="U4" i="33"/>
  <c r="U5" i="33"/>
  <c r="U6" i="33"/>
  <c r="U7" i="33"/>
  <c r="U8" i="33"/>
  <c r="U9" i="33"/>
  <c r="U3" i="33"/>
  <c r="H7" i="30"/>
  <c r="H8" i="30"/>
  <c r="H9" i="30"/>
  <c r="H10" i="30"/>
  <c r="H11" i="30"/>
  <c r="H12" i="30"/>
  <c r="H6" i="30"/>
  <c r="P24" i="28"/>
  <c r="P23" i="28"/>
  <c r="P22" i="28"/>
  <c r="P21" i="28"/>
  <c r="P20" i="28"/>
  <c r="P19" i="28"/>
  <c r="P18" i="28"/>
  <c r="G2" i="25"/>
  <c r="H2" i="25"/>
  <c r="Q13" i="43"/>
  <c r="H3" i="43"/>
  <c r="H4" i="43"/>
  <c r="H5" i="43"/>
  <c r="H6" i="43"/>
  <c r="H7" i="43"/>
  <c r="H8" i="43"/>
  <c r="H9" i="43"/>
  <c r="H10" i="43"/>
  <c r="H11" i="43"/>
  <c r="H12" i="43"/>
  <c r="H13" i="43"/>
  <c r="H14" i="43"/>
  <c r="H15" i="43"/>
  <c r="H16" i="43"/>
  <c r="H17" i="43"/>
  <c r="H18" i="43"/>
  <c r="H19" i="43"/>
  <c r="H20" i="43"/>
  <c r="H21" i="43"/>
  <c r="H22" i="43"/>
  <c r="H23" i="43"/>
  <c r="H24" i="43"/>
  <c r="H25" i="43"/>
  <c r="H26" i="43"/>
  <c r="H27" i="43"/>
  <c r="H28" i="43"/>
  <c r="H29" i="43"/>
  <c r="H30" i="43"/>
  <c r="H31" i="43"/>
  <c r="H32" i="43"/>
  <c r="H33" i="43"/>
  <c r="H34" i="43"/>
  <c r="H35" i="43"/>
  <c r="H36" i="43"/>
  <c r="H37" i="43"/>
  <c r="H38" i="43"/>
  <c r="H39" i="43"/>
  <c r="H40" i="43"/>
  <c r="H41" i="43"/>
  <c r="H42" i="43"/>
  <c r="H43" i="43"/>
  <c r="H44" i="43"/>
  <c r="H45" i="43"/>
  <c r="H46" i="43"/>
  <c r="H47" i="43"/>
  <c r="H48" i="43"/>
  <c r="H49" i="43"/>
  <c r="H50" i="43"/>
  <c r="H51" i="43"/>
  <c r="H52" i="43"/>
  <c r="H53" i="43"/>
  <c r="H54" i="43"/>
  <c r="H55" i="43"/>
  <c r="H56" i="43"/>
  <c r="H57" i="43"/>
  <c r="H58" i="43"/>
  <c r="H59" i="43"/>
  <c r="H60" i="43"/>
  <c r="H61" i="43"/>
  <c r="H62" i="43"/>
  <c r="H63" i="43"/>
  <c r="H64" i="43"/>
  <c r="H65" i="43"/>
  <c r="H66" i="43"/>
  <c r="H67" i="43"/>
  <c r="H68" i="43"/>
  <c r="H69" i="43"/>
  <c r="H70" i="43"/>
  <c r="H71" i="43"/>
  <c r="H72" i="43"/>
  <c r="H73" i="43"/>
  <c r="H74" i="43"/>
  <c r="H75" i="43"/>
  <c r="H76" i="43"/>
  <c r="H77" i="43"/>
  <c r="H78" i="43"/>
  <c r="H2" i="43"/>
  <c r="G3" i="43"/>
  <c r="G4" i="43"/>
  <c r="G5" i="43"/>
  <c r="G6" i="43"/>
  <c r="G7" i="43"/>
  <c r="G8" i="43"/>
  <c r="G9" i="43"/>
  <c r="G10" i="43"/>
  <c r="G11" i="43"/>
  <c r="G12" i="43"/>
  <c r="G13" i="43"/>
  <c r="G14" i="43"/>
  <c r="G15" i="43"/>
  <c r="G16" i="43"/>
  <c r="G17" i="43"/>
  <c r="G18" i="43"/>
  <c r="G19" i="43"/>
  <c r="G20" i="43"/>
  <c r="G21" i="43"/>
  <c r="G22" i="43"/>
  <c r="G23" i="43"/>
  <c r="G24" i="43"/>
  <c r="G25" i="43"/>
  <c r="G26" i="43"/>
  <c r="G27" i="43"/>
  <c r="G28" i="43"/>
  <c r="G29" i="43"/>
  <c r="G30" i="43"/>
  <c r="G31" i="43"/>
  <c r="G32" i="43"/>
  <c r="G33" i="43"/>
  <c r="G34" i="43"/>
  <c r="G35" i="43"/>
  <c r="G36" i="43"/>
  <c r="G37" i="43"/>
  <c r="G38" i="43"/>
  <c r="G39" i="43"/>
  <c r="G40" i="43"/>
  <c r="G41" i="43"/>
  <c r="G42" i="43"/>
  <c r="G43" i="43"/>
  <c r="G44" i="43"/>
  <c r="G45" i="43"/>
  <c r="G46" i="43"/>
  <c r="G47" i="43"/>
  <c r="G48" i="43"/>
  <c r="G49" i="43"/>
  <c r="G50" i="43"/>
  <c r="G51" i="43"/>
  <c r="G52" i="43"/>
  <c r="G53" i="43"/>
  <c r="G54" i="43"/>
  <c r="G55" i="43"/>
  <c r="G56" i="43"/>
  <c r="G57" i="43"/>
  <c r="G58" i="43"/>
  <c r="G59" i="43"/>
  <c r="G60" i="43"/>
  <c r="G61" i="43"/>
  <c r="G62" i="43"/>
  <c r="G63" i="43"/>
  <c r="G64" i="43"/>
  <c r="G65" i="43"/>
  <c r="G66" i="43"/>
  <c r="G67" i="43"/>
  <c r="G68" i="43"/>
  <c r="G69" i="43"/>
  <c r="G70" i="43"/>
  <c r="G71" i="43"/>
  <c r="G72" i="43"/>
  <c r="G73" i="43"/>
  <c r="G74" i="43"/>
  <c r="G75" i="43"/>
  <c r="G76" i="43"/>
  <c r="G77" i="43"/>
  <c r="G78" i="43"/>
  <c r="G2" i="43"/>
  <c r="F20" i="42"/>
  <c r="G20" i="42" s="1"/>
  <c r="H28" i="41"/>
  <c r="H18" i="41"/>
  <c r="H8" i="41"/>
  <c r="B4" i="41"/>
  <c r="B3" i="41"/>
  <c r="B2" i="41"/>
  <c r="S5" i="37"/>
  <c r="S8" i="37"/>
  <c r="S7" i="37"/>
  <c r="S6" i="37"/>
  <c r="S4" i="37"/>
  <c r="S3" i="37"/>
  <c r="F3" i="37"/>
  <c r="F4" i="37"/>
  <c r="F5" i="37"/>
  <c r="F6" i="37"/>
  <c r="F7" i="37"/>
  <c r="F8" i="37"/>
  <c r="F9" i="37"/>
  <c r="F10" i="37"/>
  <c r="F11" i="37"/>
  <c r="F12" i="37"/>
  <c r="F13" i="37"/>
  <c r="F14" i="37"/>
  <c r="F15" i="37"/>
  <c r="F16" i="37"/>
  <c r="F17" i="37"/>
  <c r="F18" i="37"/>
  <c r="F19" i="37"/>
  <c r="F20" i="37"/>
  <c r="F21" i="37"/>
  <c r="F22" i="37"/>
  <c r="F23" i="37"/>
  <c r="F24" i="37"/>
  <c r="F25" i="37"/>
  <c r="F26" i="37"/>
  <c r="F27" i="37"/>
  <c r="F28" i="37"/>
  <c r="F29" i="37"/>
  <c r="F30" i="37"/>
  <c r="F31" i="37"/>
  <c r="F32" i="37"/>
  <c r="F33" i="37"/>
  <c r="F34" i="37"/>
  <c r="F35" i="37"/>
  <c r="F36" i="37"/>
  <c r="F37" i="37"/>
  <c r="F38" i="37"/>
  <c r="F39" i="37"/>
  <c r="F40" i="37"/>
  <c r="F41" i="37"/>
  <c r="F42" i="37"/>
  <c r="F2" i="37"/>
  <c r="T7" i="35"/>
  <c r="T8" i="35"/>
  <c r="F20" i="35"/>
  <c r="F3" i="35"/>
  <c r="F4" i="35"/>
  <c r="F5" i="35"/>
  <c r="F6" i="35"/>
  <c r="F7" i="35"/>
  <c r="F8" i="35"/>
  <c r="F9" i="35"/>
  <c r="F10" i="35"/>
  <c r="F11" i="35"/>
  <c r="F12" i="35"/>
  <c r="F13" i="35"/>
  <c r="F14" i="35"/>
  <c r="F15" i="35"/>
  <c r="F16" i="35"/>
  <c r="F17" i="35"/>
  <c r="F18" i="35"/>
  <c r="F19" i="35"/>
  <c r="F21" i="35"/>
  <c r="F22" i="35"/>
  <c r="F23" i="35"/>
  <c r="F24" i="35"/>
  <c r="F25" i="35"/>
  <c r="F26" i="35"/>
  <c r="F27" i="35"/>
  <c r="F28" i="35"/>
  <c r="F29" i="35"/>
  <c r="F30" i="35"/>
  <c r="F31" i="35"/>
  <c r="F32" i="35"/>
  <c r="F33" i="35"/>
  <c r="F34" i="35"/>
  <c r="F35" i="35"/>
  <c r="F36" i="35"/>
  <c r="F37" i="35"/>
  <c r="F38" i="35"/>
  <c r="F39" i="35"/>
  <c r="F40" i="35"/>
  <c r="F41" i="35"/>
  <c r="F42" i="35"/>
  <c r="F2" i="35"/>
  <c r="T5" i="35"/>
  <c r="C22" i="38"/>
  <c r="F22" i="38"/>
  <c r="G42" i="37"/>
  <c r="G41" i="37"/>
  <c r="G40" i="37"/>
  <c r="G39" i="37"/>
  <c r="G38" i="37"/>
  <c r="G37" i="37"/>
  <c r="G36" i="37"/>
  <c r="G35" i="37"/>
  <c r="G34" i="37"/>
  <c r="G33" i="37"/>
  <c r="G32" i="37"/>
  <c r="G31" i="37"/>
  <c r="G30" i="37"/>
  <c r="G29" i="37"/>
  <c r="G28" i="37"/>
  <c r="G27" i="37"/>
  <c r="G26" i="37"/>
  <c r="G25" i="37"/>
  <c r="G24" i="37"/>
  <c r="G23" i="37"/>
  <c r="G22" i="37"/>
  <c r="G21" i="37"/>
  <c r="G20" i="37"/>
  <c r="G19" i="37"/>
  <c r="G18" i="37"/>
  <c r="G17" i="37"/>
  <c r="G16" i="37"/>
  <c r="G15" i="37"/>
  <c r="G14" i="37"/>
  <c r="G13" i="37"/>
  <c r="G12" i="37"/>
  <c r="G11" i="37"/>
  <c r="G10" i="37"/>
  <c r="G9" i="37"/>
  <c r="G8" i="37"/>
  <c r="G7" i="37"/>
  <c r="G6" i="37"/>
  <c r="G5" i="37"/>
  <c r="I4" i="37"/>
  <c r="G4" i="37"/>
  <c r="I3" i="37"/>
  <c r="G3" i="37"/>
  <c r="I2" i="37"/>
  <c r="H2" i="37"/>
  <c r="G2" i="37"/>
  <c r="T6" i="35"/>
  <c r="T4" i="35"/>
  <c r="T3" i="35"/>
  <c r="G2" i="35"/>
  <c r="G42" i="35"/>
  <c r="G41" i="35"/>
  <c r="G40" i="35"/>
  <c r="G39" i="35"/>
  <c r="G38" i="35"/>
  <c r="G37" i="35"/>
  <c r="G36" i="35"/>
  <c r="G35" i="35"/>
  <c r="G34" i="35"/>
  <c r="G33" i="35"/>
  <c r="G32" i="35"/>
  <c r="G31" i="35"/>
  <c r="G30" i="35"/>
  <c r="G29" i="35"/>
  <c r="G28" i="35"/>
  <c r="G27" i="35"/>
  <c r="G26" i="35"/>
  <c r="G25" i="35"/>
  <c r="G24" i="35"/>
  <c r="G23" i="35"/>
  <c r="G22" i="35"/>
  <c r="G21" i="35"/>
  <c r="G20" i="35"/>
  <c r="G19" i="35"/>
  <c r="G18" i="35"/>
  <c r="G17" i="35"/>
  <c r="G16" i="35"/>
  <c r="G15" i="35"/>
  <c r="G14" i="35"/>
  <c r="G13" i="35"/>
  <c r="G12" i="35"/>
  <c r="G11" i="35"/>
  <c r="G10" i="35"/>
  <c r="G9" i="35"/>
  <c r="G8" i="35"/>
  <c r="G7" i="35"/>
  <c r="G6" i="35"/>
  <c r="G5" i="35"/>
  <c r="G4" i="35"/>
  <c r="G3" i="35"/>
  <c r="I2" i="35"/>
  <c r="I3" i="35"/>
  <c r="I4" i="35"/>
  <c r="H2" i="35"/>
  <c r="F20" i="34"/>
  <c r="G10" i="34"/>
  <c r="F10" i="34"/>
  <c r="F16" i="34"/>
  <c r="G16" i="34" s="1"/>
  <c r="F13" i="34"/>
  <c r="F8" i="34"/>
  <c r="F9" i="34"/>
  <c r="F7" i="34"/>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K9" i="5"/>
  <c r="H9" i="1"/>
  <c r="H10" i="1"/>
  <c r="H11" i="1"/>
  <c r="H12" i="1"/>
  <c r="H13" i="1"/>
  <c r="H14" i="1"/>
  <c r="H15" i="1"/>
  <c r="H16" i="1"/>
  <c r="D2" i="30"/>
  <c r="H13" i="30"/>
  <c r="D3" i="30" s="1"/>
  <c r="O18" i="28"/>
  <c r="O19" i="28"/>
  <c r="O20" i="28"/>
  <c r="O21" i="28"/>
  <c r="O22" i="28"/>
  <c r="O23" i="28"/>
  <c r="O24" i="28"/>
  <c r="O17" i="28"/>
  <c r="P17" i="28" s="1"/>
  <c r="I4" i="28"/>
  <c r="I5" i="28"/>
  <c r="I6" i="28"/>
  <c r="I7" i="28"/>
  <c r="I8" i="28"/>
  <c r="I9" i="28"/>
  <c r="I10" i="28"/>
  <c r="I11" i="28"/>
  <c r="I12" i="28"/>
  <c r="I13" i="28"/>
  <c r="I14" i="28"/>
  <c r="I15" i="28"/>
  <c r="I16" i="28"/>
  <c r="I17" i="28"/>
  <c r="I18" i="28"/>
  <c r="I19" i="28"/>
  <c r="I20" i="28"/>
  <c r="I21" i="28"/>
  <c r="I22" i="28"/>
  <c r="I23" i="28"/>
  <c r="I24" i="28"/>
  <c r="I25" i="28"/>
  <c r="I26" i="28"/>
  <c r="I27" i="28"/>
  <c r="I28" i="28"/>
  <c r="I29" i="28"/>
  <c r="I30" i="28"/>
  <c r="I31" i="28"/>
  <c r="I32" i="28"/>
  <c r="I33" i="28"/>
  <c r="I34" i="28"/>
  <c r="I35" i="28"/>
  <c r="I36" i="28"/>
  <c r="I37" i="28"/>
  <c r="I3" i="28"/>
  <c r="AB6" i="26"/>
  <c r="AB7" i="26"/>
  <c r="AB8" i="26"/>
  <c r="AB9" i="26"/>
  <c r="AB10" i="26"/>
  <c r="AB11" i="26"/>
  <c r="AB12" i="26"/>
  <c r="AB5" i="26"/>
  <c r="V15" i="26"/>
  <c r="H3" i="26"/>
  <c r="H4" i="26"/>
  <c r="H5"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2" i="26"/>
  <c r="G39" i="26"/>
  <c r="G43" i="26"/>
  <c r="G3" i="26"/>
  <c r="G4" i="26"/>
  <c r="G5"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40" i="26"/>
  <c r="G41" i="26"/>
  <c r="G42" i="26"/>
  <c r="G44" i="26"/>
  <c r="G45" i="26"/>
  <c r="G46" i="26"/>
  <c r="G47" i="26"/>
  <c r="G48" i="26"/>
  <c r="G2" i="26"/>
  <c r="N15" i="24"/>
  <c r="F3" i="24"/>
  <c r="D3" i="24"/>
  <c r="D4" i="24"/>
  <c r="D5" i="24"/>
  <c r="D6" i="24"/>
  <c r="D7" i="24"/>
  <c r="D8" i="24"/>
  <c r="D9" i="24"/>
  <c r="D10" i="24"/>
  <c r="D11" i="24"/>
  <c r="D12" i="24"/>
  <c r="D13" i="24"/>
  <c r="D14" i="24"/>
  <c r="D15" i="24"/>
  <c r="D16" i="24"/>
  <c r="D17" i="24"/>
  <c r="D18" i="24"/>
  <c r="D19" i="24"/>
  <c r="D20" i="24"/>
  <c r="D21" i="24"/>
  <c r="D22" i="24"/>
  <c r="D23" i="24"/>
  <c r="D24" i="24"/>
  <c r="D25" i="24"/>
  <c r="D26" i="24"/>
  <c r="D27" i="24"/>
  <c r="D28" i="24"/>
  <c r="D29" i="24"/>
  <c r="D30" i="24"/>
  <c r="D31" i="24"/>
  <c r="D32" i="24"/>
  <c r="D33" i="24"/>
  <c r="D34" i="24"/>
  <c r="D35" i="24"/>
  <c r="D36" i="24"/>
  <c r="D37" i="24"/>
  <c r="D38" i="24"/>
  <c r="D39" i="24"/>
  <c r="D40" i="24"/>
  <c r="D41" i="24"/>
  <c r="D42" i="24"/>
  <c r="D43" i="24"/>
  <c r="D44" i="24"/>
  <c r="D45" i="24"/>
  <c r="D46" i="24"/>
  <c r="D47" i="24"/>
  <c r="D48" i="24"/>
  <c r="D49" i="24"/>
  <c r="D50" i="24"/>
  <c r="D51" i="24"/>
  <c r="D2" i="24"/>
  <c r="G4" i="17"/>
  <c r="Q18" i="22"/>
  <c r="Q19" i="22"/>
  <c r="Q20" i="22"/>
  <c r="Q21" i="22"/>
  <c r="Q22" i="22"/>
  <c r="Q17" i="22"/>
  <c r="I29" i="22"/>
  <c r="O20" i="21"/>
  <c r="O21" i="21"/>
  <c r="O22" i="21"/>
  <c r="O23" i="21"/>
  <c r="O24" i="21"/>
  <c r="O19" i="21"/>
  <c r="I31" i="21"/>
  <c r="H31" i="21"/>
  <c r="G34" i="17"/>
  <c r="G35" i="17"/>
  <c r="G36" i="17"/>
  <c r="G37" i="17"/>
  <c r="G38" i="17"/>
  <c r="G39" i="17"/>
  <c r="G40" i="17"/>
  <c r="G41" i="17"/>
  <c r="G42" i="17"/>
  <c r="G43" i="17"/>
  <c r="G44" i="17"/>
  <c r="G45" i="17"/>
  <c r="G46" i="17"/>
  <c r="G47" i="17"/>
  <c r="G48" i="17"/>
  <c r="G49" i="17"/>
  <c r="G50" i="17"/>
  <c r="G51" i="17"/>
  <c r="G52" i="17"/>
  <c r="G53" i="17"/>
  <c r="G5" i="17"/>
  <c r="K8" i="10"/>
  <c r="N30" i="5"/>
  <c r="N31" i="5"/>
  <c r="N32" i="5"/>
  <c r="N33" i="5"/>
  <c r="N34" i="5"/>
  <c r="N35" i="5"/>
  <c r="N36" i="5"/>
  <c r="N29" i="5"/>
  <c r="N20" i="5"/>
  <c r="N21" i="5"/>
  <c r="N22" i="5"/>
  <c r="N23" i="5"/>
  <c r="N24" i="5"/>
  <c r="N25" i="5"/>
  <c r="N26" i="5"/>
  <c r="N27" i="5"/>
  <c r="N19" i="5"/>
  <c r="N10" i="5"/>
  <c r="N11" i="5"/>
  <c r="N12" i="5"/>
  <c r="N13" i="5"/>
  <c r="N14" i="5"/>
  <c r="N15" i="5"/>
  <c r="N16" i="5"/>
  <c r="N17" i="5"/>
  <c r="N9" i="5"/>
  <c r="G5" i="22"/>
  <c r="I5" i="22" s="1"/>
  <c r="G6" i="22"/>
  <c r="I6" i="22" s="1"/>
  <c r="G7" i="22"/>
  <c r="I7" i="22" s="1"/>
  <c r="G8" i="22"/>
  <c r="I8" i="22" s="1"/>
  <c r="G9" i="22"/>
  <c r="I9" i="22" s="1"/>
  <c r="G10" i="22"/>
  <c r="I10" i="22" s="1"/>
  <c r="G11" i="22"/>
  <c r="I11" i="22" s="1"/>
  <c r="G12" i="22"/>
  <c r="I12" i="22" s="1"/>
  <c r="G13" i="22"/>
  <c r="I13" i="22" s="1"/>
  <c r="G14" i="22"/>
  <c r="I14" i="22" s="1"/>
  <c r="G15" i="22"/>
  <c r="I15" i="22" s="1"/>
  <c r="G16" i="22"/>
  <c r="I16" i="22" s="1"/>
  <c r="G17" i="22"/>
  <c r="I17" i="22" s="1"/>
  <c r="G18" i="22"/>
  <c r="I18" i="22" s="1"/>
  <c r="G19" i="22"/>
  <c r="I19" i="22" s="1"/>
  <c r="G20" i="22"/>
  <c r="I20" i="22" s="1"/>
  <c r="G21" i="22"/>
  <c r="I21" i="22" s="1"/>
  <c r="G22" i="22"/>
  <c r="G23" i="22"/>
  <c r="G24" i="22"/>
  <c r="G25" i="22"/>
  <c r="H25" i="22" s="1"/>
  <c r="G26" i="22"/>
  <c r="H26" i="22" s="1"/>
  <c r="G27" i="22"/>
  <c r="G28" i="22"/>
  <c r="H28" i="22" s="1"/>
  <c r="G29" i="22"/>
  <c r="G4" i="22"/>
  <c r="I4" i="22" s="1"/>
  <c r="F5" i="22"/>
  <c r="F6" i="22"/>
  <c r="F7" i="22"/>
  <c r="F8" i="22"/>
  <c r="F9" i="22"/>
  <c r="F10" i="22"/>
  <c r="F11" i="22"/>
  <c r="F12" i="22"/>
  <c r="F13" i="22"/>
  <c r="H13" i="22" s="1"/>
  <c r="F14" i="22"/>
  <c r="H14" i="22" s="1"/>
  <c r="F15" i="22"/>
  <c r="H15" i="22" s="1"/>
  <c r="F16" i="22"/>
  <c r="F17" i="22"/>
  <c r="H17" i="22" s="1"/>
  <c r="F18" i="22"/>
  <c r="H18" i="22" s="1"/>
  <c r="F19" i="22"/>
  <c r="H19" i="22" s="1"/>
  <c r="F20" i="22"/>
  <c r="H20" i="22" s="1"/>
  <c r="F21" i="22"/>
  <c r="H21" i="22" s="1"/>
  <c r="F22" i="22"/>
  <c r="H22" i="22" s="1"/>
  <c r="F23" i="22"/>
  <c r="H23" i="22" s="1"/>
  <c r="F24" i="22"/>
  <c r="H24" i="22" s="1"/>
  <c r="F25" i="22"/>
  <c r="F26" i="22"/>
  <c r="F27" i="22"/>
  <c r="F28" i="22"/>
  <c r="F29" i="22"/>
  <c r="F4" i="22"/>
  <c r="E5" i="22"/>
  <c r="H5" i="22" s="1"/>
  <c r="E6" i="22"/>
  <c r="E7" i="22"/>
  <c r="H7" i="22" s="1"/>
  <c r="E8" i="22"/>
  <c r="H8" i="22" s="1"/>
  <c r="E9" i="22"/>
  <c r="H9" i="22" s="1"/>
  <c r="E10" i="22"/>
  <c r="H10" i="22" s="1"/>
  <c r="E11" i="22"/>
  <c r="E12" i="22"/>
  <c r="H12" i="22" s="1"/>
  <c r="E13" i="22"/>
  <c r="E14" i="22"/>
  <c r="E15" i="22"/>
  <c r="E16" i="22"/>
  <c r="E17" i="22"/>
  <c r="E18" i="22"/>
  <c r="E19" i="22"/>
  <c r="E20" i="22"/>
  <c r="E21" i="22"/>
  <c r="E22" i="22"/>
  <c r="E23" i="22"/>
  <c r="E24" i="22"/>
  <c r="E25" i="22"/>
  <c r="E26" i="22"/>
  <c r="E27" i="22"/>
  <c r="E28" i="22"/>
  <c r="E29" i="22"/>
  <c r="E4" i="22"/>
  <c r="H4" i="22" s="1"/>
  <c r="D5" i="22"/>
  <c r="D6" i="22"/>
  <c r="D7" i="22"/>
  <c r="D8" i="22"/>
  <c r="D9" i="22"/>
  <c r="D10" i="22"/>
  <c r="D11" i="22"/>
  <c r="D12" i="22"/>
  <c r="D13" i="22"/>
  <c r="D14" i="22"/>
  <c r="D15" i="22"/>
  <c r="D16" i="22"/>
  <c r="D17" i="22"/>
  <c r="D18" i="22"/>
  <c r="D19" i="22"/>
  <c r="D20" i="22"/>
  <c r="D21" i="22"/>
  <c r="D22" i="22"/>
  <c r="D23" i="22"/>
  <c r="D24" i="22"/>
  <c r="D25" i="22"/>
  <c r="D26" i="22"/>
  <c r="D27" i="22"/>
  <c r="D28" i="22"/>
  <c r="D29" i="22"/>
  <c r="D4" i="22"/>
  <c r="D8" i="21"/>
  <c r="G7" i="21"/>
  <c r="I7" i="21" s="1"/>
  <c r="G8" i="21"/>
  <c r="I8" i="21" s="1"/>
  <c r="G9" i="21"/>
  <c r="I9" i="21" s="1"/>
  <c r="G10" i="21"/>
  <c r="I10" i="21" s="1"/>
  <c r="G11" i="21"/>
  <c r="I11" i="21" s="1"/>
  <c r="G12" i="21"/>
  <c r="I12" i="21" s="1"/>
  <c r="G13" i="21"/>
  <c r="I13" i="21" s="1"/>
  <c r="G14" i="21"/>
  <c r="I14" i="21" s="1"/>
  <c r="G15" i="21"/>
  <c r="I15" i="21" s="1"/>
  <c r="G16" i="21"/>
  <c r="I16" i="21" s="1"/>
  <c r="G17" i="21"/>
  <c r="I17" i="21" s="1"/>
  <c r="G18" i="21"/>
  <c r="I18" i="21" s="1"/>
  <c r="G19" i="21"/>
  <c r="I19" i="21" s="1"/>
  <c r="G20" i="21"/>
  <c r="I20" i="21" s="1"/>
  <c r="G21" i="21"/>
  <c r="I21" i="21" s="1"/>
  <c r="G22" i="21"/>
  <c r="I22" i="21" s="1"/>
  <c r="G23" i="21"/>
  <c r="I23" i="21" s="1"/>
  <c r="G24" i="21"/>
  <c r="I24" i="21" s="1"/>
  <c r="G25" i="21"/>
  <c r="I25" i="21" s="1"/>
  <c r="G26" i="21"/>
  <c r="I26" i="21" s="1"/>
  <c r="G27" i="21"/>
  <c r="I27" i="21" s="1"/>
  <c r="G28" i="21"/>
  <c r="I28" i="21" s="1"/>
  <c r="G29" i="21"/>
  <c r="I29" i="21" s="1"/>
  <c r="G30" i="21"/>
  <c r="I30" i="21" s="1"/>
  <c r="G31" i="21"/>
  <c r="G6" i="21"/>
  <c r="I6" i="21" s="1"/>
  <c r="F7" i="21"/>
  <c r="F8" i="21"/>
  <c r="F9" i="21"/>
  <c r="F10" i="21"/>
  <c r="F11" i="21"/>
  <c r="F12" i="21"/>
  <c r="F13" i="21"/>
  <c r="F14" i="21"/>
  <c r="F15" i="21"/>
  <c r="F16" i="21"/>
  <c r="F17" i="21"/>
  <c r="F18" i="21"/>
  <c r="F19" i="21"/>
  <c r="F20" i="21"/>
  <c r="F21" i="21"/>
  <c r="F22" i="21"/>
  <c r="F23" i="21"/>
  <c r="F24" i="21"/>
  <c r="F25" i="21"/>
  <c r="F26" i="21"/>
  <c r="F27" i="21"/>
  <c r="F28" i="21"/>
  <c r="F29" i="21"/>
  <c r="F30" i="21"/>
  <c r="F31" i="21"/>
  <c r="F6" i="21"/>
  <c r="E7" i="21"/>
  <c r="E8" i="21"/>
  <c r="E9" i="21"/>
  <c r="E10" i="21"/>
  <c r="E11" i="21"/>
  <c r="E12" i="21"/>
  <c r="E13" i="21"/>
  <c r="E14" i="21"/>
  <c r="E15" i="21"/>
  <c r="E16" i="21"/>
  <c r="E17" i="21"/>
  <c r="E18" i="21"/>
  <c r="E19" i="21"/>
  <c r="E20" i="21"/>
  <c r="E21" i="21"/>
  <c r="E22" i="21"/>
  <c r="E23" i="21"/>
  <c r="E24" i="21"/>
  <c r="E25" i="21"/>
  <c r="E26" i="21"/>
  <c r="E27" i="21"/>
  <c r="E28" i="21"/>
  <c r="E29" i="21"/>
  <c r="E30" i="21"/>
  <c r="E31" i="21"/>
  <c r="E6" i="21"/>
  <c r="D7" i="21"/>
  <c r="D9" i="21"/>
  <c r="D10" i="21"/>
  <c r="D11" i="21"/>
  <c r="D12" i="21"/>
  <c r="D13" i="21"/>
  <c r="D14" i="21"/>
  <c r="D15" i="21"/>
  <c r="D16" i="21"/>
  <c r="D17" i="21"/>
  <c r="D18" i="21"/>
  <c r="D19" i="21"/>
  <c r="D20" i="21"/>
  <c r="D21" i="21"/>
  <c r="D22" i="21"/>
  <c r="D23" i="21"/>
  <c r="D24" i="21"/>
  <c r="D25" i="21"/>
  <c r="D26" i="21"/>
  <c r="D27" i="21"/>
  <c r="D28" i="21"/>
  <c r="D29" i="21"/>
  <c r="D30" i="21"/>
  <c r="D31" i="21"/>
  <c r="D6" i="21"/>
  <c r="G6" i="17"/>
  <c r="G7" i="17"/>
  <c r="G8" i="17"/>
  <c r="G9" i="17"/>
  <c r="G10" i="17"/>
  <c r="G11" i="17"/>
  <c r="G12" i="17"/>
  <c r="G13" i="17"/>
  <c r="G16" i="17"/>
  <c r="G17" i="17"/>
  <c r="G18" i="17"/>
  <c r="G19" i="17"/>
  <c r="G20" i="17"/>
  <c r="G21" i="17"/>
  <c r="G22" i="17"/>
  <c r="G23" i="17"/>
  <c r="G24" i="17"/>
  <c r="G25" i="17"/>
  <c r="G26" i="17"/>
  <c r="G27" i="17"/>
  <c r="G28" i="17"/>
  <c r="G29" i="17"/>
  <c r="G30" i="17"/>
  <c r="G31" i="17"/>
  <c r="G32" i="17"/>
  <c r="I6" i="11"/>
  <c r="J6" i="11"/>
  <c r="L28" i="10"/>
  <c r="K28" i="10"/>
  <c r="J28" i="10"/>
  <c r="L18" i="10"/>
  <c r="K18" i="10"/>
  <c r="L8" i="10"/>
  <c r="J8" i="10"/>
  <c r="J18" i="10"/>
  <c r="B3" i="10" s="1"/>
  <c r="M36" i="5"/>
  <c r="L36" i="5"/>
  <c r="K36" i="5"/>
  <c r="M35" i="5"/>
  <c r="L35" i="5"/>
  <c r="K35" i="5"/>
  <c r="M34" i="5"/>
  <c r="L34" i="5"/>
  <c r="K34" i="5"/>
  <c r="M33" i="5"/>
  <c r="L33" i="5"/>
  <c r="K33" i="5"/>
  <c r="M32" i="5"/>
  <c r="L32" i="5"/>
  <c r="K32" i="5"/>
  <c r="M31" i="5"/>
  <c r="L31" i="5"/>
  <c r="K31" i="5"/>
  <c r="M30" i="5"/>
  <c r="L30" i="5"/>
  <c r="K30" i="5"/>
  <c r="M29" i="5"/>
  <c r="L29" i="5"/>
  <c r="K29" i="5"/>
  <c r="M27" i="5"/>
  <c r="L27" i="5"/>
  <c r="K27" i="5"/>
  <c r="M26" i="5"/>
  <c r="L26" i="5"/>
  <c r="K26" i="5"/>
  <c r="M25" i="5"/>
  <c r="L25" i="5"/>
  <c r="K25" i="5"/>
  <c r="M24" i="5"/>
  <c r="L24" i="5"/>
  <c r="K24" i="5"/>
  <c r="M23" i="5"/>
  <c r="L23" i="5"/>
  <c r="K23" i="5"/>
  <c r="M22" i="5"/>
  <c r="L22" i="5"/>
  <c r="K22" i="5"/>
  <c r="M21" i="5"/>
  <c r="L21" i="5"/>
  <c r="K21" i="5"/>
  <c r="M20" i="5"/>
  <c r="L20" i="5"/>
  <c r="K20" i="5"/>
  <c r="M19" i="5"/>
  <c r="L19" i="5"/>
  <c r="K19" i="5"/>
  <c r="M10" i="5"/>
  <c r="M11" i="5"/>
  <c r="M12" i="5"/>
  <c r="M13" i="5"/>
  <c r="M14" i="5"/>
  <c r="M15" i="5"/>
  <c r="M16" i="5"/>
  <c r="M17" i="5"/>
  <c r="M9" i="5"/>
  <c r="K10" i="5"/>
  <c r="K11" i="5"/>
  <c r="K12" i="5"/>
  <c r="K13" i="5"/>
  <c r="K14" i="5"/>
  <c r="K15" i="5"/>
  <c r="K16" i="5"/>
  <c r="K17" i="5"/>
  <c r="L9" i="5"/>
  <c r="L17" i="5"/>
  <c r="L16" i="5"/>
  <c r="L15" i="5"/>
  <c r="L14" i="5"/>
  <c r="L13" i="5"/>
  <c r="L12" i="5"/>
  <c r="L11" i="5"/>
  <c r="L10" i="5"/>
  <c r="B2" i="3"/>
  <c r="I5" i="3"/>
  <c r="H5" i="3"/>
  <c r="B4" i="2"/>
  <c r="I28" i="2"/>
  <c r="H28" i="2"/>
  <c r="B3" i="2"/>
  <c r="I18" i="2"/>
  <c r="H18" i="2"/>
  <c r="B2" i="2"/>
  <c r="H8" i="2"/>
  <c r="H32" i="1"/>
  <c r="H31" i="1"/>
  <c r="H30" i="1"/>
  <c r="H29" i="1"/>
  <c r="H28" i="1"/>
  <c r="J39" i="28"/>
  <c r="J38" i="28"/>
  <c r="J20" i="28"/>
  <c r="J23" i="28"/>
  <c r="J24" i="28"/>
  <c r="J28" i="28"/>
  <c r="J35" i="28"/>
  <c r="J8" i="28"/>
  <c r="J32" i="28"/>
  <c r="J6" i="28"/>
  <c r="J15" i="28"/>
  <c r="J13" i="28"/>
  <c r="J14" i="28"/>
  <c r="J34" i="28"/>
  <c r="J25" i="28"/>
  <c r="J29" i="28"/>
  <c r="J7" i="28"/>
  <c r="J31" i="28"/>
  <c r="J11" i="28"/>
  <c r="J36" i="28"/>
  <c r="J10" i="28"/>
  <c r="J33" i="28"/>
  <c r="J5" i="28"/>
  <c r="J18" i="28"/>
  <c r="J17" i="28"/>
  <c r="J9" i="28"/>
  <c r="J22" i="28"/>
  <c r="J27" i="28"/>
  <c r="J26" i="28"/>
  <c r="J21" i="28"/>
  <c r="J19" i="28"/>
  <c r="J30" i="28"/>
  <c r="J4" i="28"/>
  <c r="J12" i="28"/>
  <c r="J37" i="28"/>
  <c r="J16" i="28"/>
  <c r="J3" i="28"/>
  <c r="Q11" i="48" l="1"/>
  <c r="Q10" i="48"/>
  <c r="N57" i="61"/>
  <c r="N2" i="61"/>
  <c r="N49" i="61" a="1"/>
  <c r="N49" i="61" s="1"/>
  <c r="N42" i="61"/>
  <c r="N28" i="61"/>
  <c r="N20" i="61"/>
  <c r="N11" i="61"/>
  <c r="G20" i="34"/>
  <c r="F24" i="34"/>
  <c r="I28" i="22"/>
  <c r="I27" i="22"/>
  <c r="I26" i="22"/>
  <c r="I25" i="22"/>
  <c r="I24" i="22"/>
  <c r="I23" i="22"/>
  <c r="I22" i="22"/>
  <c r="I44" i="17"/>
  <c r="J44" i="17" s="1"/>
  <c r="I37" i="17"/>
  <c r="I34" i="17"/>
  <c r="I24" i="17"/>
  <c r="I18" i="17"/>
  <c r="J18" i="17" s="1"/>
  <c r="I14" i="17"/>
  <c r="I4" i="17"/>
  <c r="J4" i="17" s="1"/>
  <c r="Z16" i="32"/>
  <c r="Z17" i="32" s="1"/>
  <c r="C4" i="34"/>
  <c r="C4" i="11"/>
  <c r="B3" i="11"/>
  <c r="G44" i="11"/>
  <c r="K6" i="11"/>
  <c r="B4" i="11"/>
  <c r="M28" i="10"/>
  <c r="B4" i="10"/>
  <c r="N28" i="10"/>
  <c r="N18" i="10"/>
  <c r="M18" i="10"/>
  <c r="M8" i="10"/>
  <c r="B2" i="10"/>
  <c r="N8" i="10"/>
  <c r="AB13" i="26"/>
  <c r="I13" i="30"/>
  <c r="C3" i="11"/>
  <c r="O29" i="5"/>
  <c r="O19" i="5"/>
  <c r="O9" i="5"/>
  <c r="Q9" i="5" s="1"/>
  <c r="B4" i="1"/>
  <c r="B2" i="1"/>
  <c r="B3" i="1"/>
  <c r="J14" i="17" l="1"/>
  <c r="J24" i="17"/>
  <c r="J34" i="17"/>
  <c r="J37" i="17"/>
  <c r="B4" i="5"/>
  <c r="Q29" i="5"/>
  <c r="P29" i="5"/>
  <c r="P19" i="5"/>
  <c r="Q19" i="5"/>
  <c r="P9" i="5"/>
  <c r="B3" i="5"/>
  <c r="B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9DFC8E-67FA-4F6E-BE03-965D4413DCC0}" keepAlive="1" name="Query - Document" description="Connection to the 'Document' query in the workbook." type="5" refreshedVersion="0" background="1">
    <dbPr connection="Provider=Microsoft.Mashup.OleDb.1;Data Source=$Workbook$;Location=Document;Extended Properties=&quot;&quot;" command="SELECT * FROM [Document]"/>
  </connection>
  <connection id="2" xr16:uid="{EED848DD-3CA5-4F98-8266-B7F4E7561C22}" keepAlive="1" name="Query - Document (2)" description="Connection to the 'Document (2)' query in the workbook." type="5" refreshedVersion="8" background="1" saveData="1">
    <dbPr connection="Provider=Microsoft.Mashup.OleDb.1;Data Source=$Workbook$;Location=&quot;Document (2)&quot;;Extended Properties=&quot;&quot;" command="SELECT * FROM [Document (2)]"/>
  </connection>
  <connection id="3" xr16:uid="{EE4E3B97-299C-4C3D-B9F4-C2C4F78A4D3E}" keepAlive="1" name="Query - Document (3)" description="Connection to the 'Document (3)' query in the workbook." type="5" refreshedVersion="0" background="1">
    <dbPr connection="Provider=Microsoft.Mashup.OleDb.1;Data Source=$Workbook$;Location=&quot;Document (3)&quot;;Extended Properties=&quot;&quot;" command="SELECT * FROM [Document (3)]"/>
  </connection>
  <connection id="4" xr16:uid="{53D68339-C525-41A3-8BEC-FFCEC57278F5}" keepAlive="1" name="Query - Document (4)" description="Connection to the 'Document (4)' query in the workbook." type="5" refreshedVersion="0" background="1">
    <dbPr connection="Provider=Microsoft.Mashup.OleDb.1;Data Source=$Workbook$;Location=&quot;Document (4)&quot;;Extended Properties=&quot;&quot;" command="SELECT * FROM [Document (4)]"/>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<sst xmlns="http://schemas.openxmlformats.org/spreadsheetml/2006/main" count="4419" uniqueCount="1053">
  <si>
    <t>ADHD_ScoreCard</t>
  </si>
  <si>
    <t>Sr.No</t>
  </si>
  <si>
    <t>SYMPTOMS:Check the appropriate box</t>
  </si>
  <si>
    <t>Not at all(0)</t>
  </si>
  <si>
    <t>Some what(1)</t>
  </si>
  <si>
    <t>Pretty much(2)</t>
  </si>
  <si>
    <t>Very much(3)</t>
  </si>
  <si>
    <t>Diagnoses</t>
  </si>
  <si>
    <t>Total_Sum</t>
  </si>
  <si>
    <t>Status Result</t>
  </si>
  <si>
    <t>Fails to give close attention to details, careless mistakes</t>
  </si>
  <si>
    <t xml:space="preserve">Attention
</t>
  </si>
  <si>
    <t>ATTENTION (≥6/9) Else InAttention</t>
  </si>
  <si>
    <t>Difficulty sustaining attention in tasks or fun activities</t>
  </si>
  <si>
    <t>Does not seem to listen when spoken to directly</t>
  </si>
  <si>
    <t>Difficulty organizing tasks and activities</t>
  </si>
  <si>
    <t>Does not follow through on instructions and fails to finish work</t>
  </si>
  <si>
    <t>Easily distracted</t>
  </si>
  <si>
    <t>Avoids tasks that require sustained mental effort (boring)</t>
  </si>
  <si>
    <t>Losing things</t>
  </si>
  <si>
    <t>Forgetful in daily activities</t>
  </si>
  <si>
    <t>Fidgety or squirms in seat</t>
  </si>
  <si>
    <t>Hyperactive/Impulsive</t>
  </si>
  <si>
    <t>Leaves seat when sitting is expected</t>
  </si>
  <si>
    <t>HYPERACTIVE/IMPULSIVE (≥6/9) Else Relaxed/Apathy</t>
  </si>
  <si>
    <t>Feels restless</t>
  </si>
  <si>
    <t>Always on the go or acts as if "driven by a motor"</t>
  </si>
  <si>
    <t>Difficulty in doing fun things quietly</t>
  </si>
  <si>
    <t>Difficulty awaiting turn</t>
  </si>
  <si>
    <t>Interrupting or intruding on others</t>
  </si>
  <si>
    <t>Talks excessively</t>
  </si>
  <si>
    <t xml:space="preserve">Blurts answers before questions have been completed	
</t>
  </si>
  <si>
    <t>Loses temper</t>
  </si>
  <si>
    <t>Oppositional Defiant Disorder</t>
  </si>
  <si>
    <t>Argues with adults</t>
  </si>
  <si>
    <t>Deliberately annoys people</t>
  </si>
  <si>
    <t>Touchy or easily annoyed by others</t>
  </si>
  <si>
    <t>OPPOSITIONAL DEFIANT DISORDER (&gt;4/8) Else Conduct Disorder</t>
  </si>
  <si>
    <t>Angry or resentful</t>
  </si>
  <si>
    <t>Blames others for his or her mistakes or misbehavior</t>
  </si>
  <si>
    <t>Spiteful or vindictive</t>
  </si>
  <si>
    <t>Actively defies or refuses to comply with requests or rules</t>
  </si>
  <si>
    <t>ADHD SNAP IV Score Card</t>
  </si>
  <si>
    <t>For each item, check the column which best describes this child</t>
  </si>
  <si>
    <t>Not At All</t>
  </si>
  <si>
    <t>Just A Little</t>
  </si>
  <si>
    <t>Quite A Bit</t>
  </si>
  <si>
    <t>Very much</t>
  </si>
  <si>
    <t>Total=(Sum of Diagnoses/No of Question)</t>
  </si>
  <si>
    <t>Status</t>
  </si>
  <si>
    <t>Diagnoses Sum/No of Question &lt;1.78 then Attention Else InAttention</t>
  </si>
  <si>
    <t>Often fails to give close attention to details or makes careless mistakes in schoolwork or tasks</t>
  </si>
  <si>
    <t>Often has difficulty sustaining attention in tasks or play activities</t>
  </si>
  <si>
    <t>Often does not seem to listen when spoken to directly</t>
  </si>
  <si>
    <t>Often does not follow through on instructions and fails to finish schoolwork, chores, or duties</t>
  </si>
  <si>
    <t>Often has difficulty organizing tasks and activities</t>
  </si>
  <si>
    <t>Often avoids, dislikes, or reluctantly engages in tasks requiring sustained mental effort</t>
  </si>
  <si>
    <t>Often loses things necessary for activities (e.g., toys, school assignments, pencils, or books)</t>
  </si>
  <si>
    <t>Often is distracted by extraneous stimuli</t>
  </si>
  <si>
    <t>Often is forgetful in daily activities</t>
  </si>
  <si>
    <t>Diagnoses Sum/No of Question &lt;=1.44 then  Relaxed /Apathy Else Hyperactivity/Impulsivity</t>
  </si>
  <si>
    <t>Often fidgets with hands or feet or squirms in seat</t>
  </si>
  <si>
    <t>Often leaves seat in classroom or in other situations in which remaining seated is expected</t>
  </si>
  <si>
    <t>Often runs about or climbs excessively in situations in which it is inappropriate</t>
  </si>
  <si>
    <t>Often has difficulty playing or engaging in leisure activities quietly</t>
  </si>
  <si>
    <t>Often is “on the go” or often acts as if “driven by a motor”</t>
  </si>
  <si>
    <t>Often talks excessively</t>
  </si>
  <si>
    <t>Often blurts out answers before questions have been completed</t>
  </si>
  <si>
    <t>Often has difficulty awaiting turn</t>
  </si>
  <si>
    <t>Often interrupts or intrudes on others (e.g. butts into conversations / games)</t>
  </si>
  <si>
    <t>Diagnoses Sum/No of Question &lt;=1.88 then Conduct Diorder Else Oppositional Defiant Disorder</t>
  </si>
  <si>
    <t>Often loses temper</t>
  </si>
  <si>
    <t>Often argues with adults</t>
  </si>
  <si>
    <t>Often actively defies or refuses adult requests or rules</t>
  </si>
  <si>
    <t>Often deliberately does things that annoy other people</t>
  </si>
  <si>
    <t>Often blames others for his or her mistakes or misbehavior</t>
  </si>
  <si>
    <t>Often touchy or easily annoyed by others</t>
  </si>
  <si>
    <t>Often is angry and resentful</t>
  </si>
  <si>
    <t>Often is spiteful or vindictive</t>
  </si>
  <si>
    <t>MFQ Score Card</t>
  </si>
  <si>
    <t>Sr.NO</t>
  </si>
  <si>
    <t>Questions</t>
  </si>
  <si>
    <t>TRUE(2)</t>
  </si>
  <si>
    <t>Sometime True(1)</t>
  </si>
  <si>
    <t>Not true(0)</t>
  </si>
  <si>
    <t>Total</t>
  </si>
  <si>
    <t>S/he felt miserable or unhappy</t>
  </si>
  <si>
    <t>S/he didn’t enjoy anything at all</t>
  </si>
  <si>
    <t>S/he felt so tired that s/he just sat around and did nothing</t>
  </si>
  <si>
    <t>S/he was very restless</t>
  </si>
  <si>
    <t>S/he felt s/he was no good any more</t>
  </si>
  <si>
    <t>S/he cried a lot</t>
  </si>
  <si>
    <t>S/he found it hard to think properly or concentrate</t>
  </si>
  <si>
    <t>S/he hated herself/himself</t>
  </si>
  <si>
    <t>S/he felt s/he was a bad person</t>
  </si>
  <si>
    <t>S/he felt lonely</t>
  </si>
  <si>
    <t>S/he thought nobody really loved her</t>
  </si>
  <si>
    <t>S/he thought s/he could never be as good as other kids</t>
  </si>
  <si>
    <t>S/he felt s/he did everything wrong</t>
  </si>
  <si>
    <t>Not True</t>
  </si>
  <si>
    <t>Somewhat True</t>
  </si>
  <si>
    <t>Certainly True</t>
  </si>
  <si>
    <t>Considerate of other people's feelings</t>
  </si>
  <si>
    <t>Restless, overactive, cannot stay still for long</t>
  </si>
  <si>
    <t>Often complains of headaches, stomach-aches or sickness</t>
  </si>
  <si>
    <t>Shares readily with other children (treats, toys, pencils etc.)</t>
  </si>
  <si>
    <t>Often has temper tantrums or hot tempers</t>
  </si>
  <si>
    <t>Rather solitary, tends to play alone</t>
  </si>
  <si>
    <t>Generally obedient, usually does what adults request</t>
  </si>
  <si>
    <t>Many worries, often seems worried</t>
  </si>
  <si>
    <t>Helpful if someone is hurt, upset or feeling ill</t>
  </si>
  <si>
    <t>Constantly fidgeting or squirming</t>
  </si>
  <si>
    <t>Has at least one good friend</t>
  </si>
  <si>
    <t>Often fights with other children or bullies them</t>
  </si>
  <si>
    <t>Often unhappy, down-hearted or tearful</t>
  </si>
  <si>
    <t>Generally liked by other children</t>
  </si>
  <si>
    <t>Easily distracted, concentration wanders</t>
  </si>
  <si>
    <t>Nervous or clingy in new situations, easily loses confidence</t>
  </si>
  <si>
    <t>Kind to younger children</t>
  </si>
  <si>
    <t>Often argumentative with adults</t>
  </si>
  <si>
    <t>Picked on or bullied by other children</t>
  </si>
  <si>
    <t>Often volunteers to help others (parents, teachers, other children)</t>
  </si>
  <si>
    <t>Can stop and think things out before acting</t>
  </si>
  <si>
    <t>Can be spiteful to others</t>
  </si>
  <si>
    <t>Gets on better with adults than with other children</t>
  </si>
  <si>
    <t>Many fears, easily scared</t>
  </si>
  <si>
    <t>Sees tasks through to the end, good attention span</t>
  </si>
  <si>
    <t>Overall, do you think that your child has difficulties in one or more of the following areas: emotions, concentration, behaviour or being able to get on with other people?</t>
  </si>
  <si>
    <t>Yes - minor difficulties</t>
  </si>
  <si>
    <t>Yes - definite difficulties</t>
  </si>
  <si>
    <t>Yes - severe difficulties</t>
  </si>
  <si>
    <t>How long have these difficulties been present?</t>
  </si>
  <si>
    <t>Less than a month</t>
  </si>
  <si>
    <t>1-5 months</t>
  </si>
  <si>
    <t>6-12 months</t>
  </si>
  <si>
    <t>Over a year</t>
  </si>
  <si>
    <t>Do the difficulties upset or distress your child?</t>
  </si>
  <si>
    <t>Not at all</t>
  </si>
  <si>
    <t>Only a little</t>
  </si>
  <si>
    <t>Quite a lot</t>
  </si>
  <si>
    <t>A great deal</t>
  </si>
  <si>
    <t>Do the difficulties interfere with your child's everyday life in the following areas?</t>
  </si>
  <si>
    <t>HOME LIFE</t>
  </si>
  <si>
    <t>FRIENDSHIPS</t>
  </si>
  <si>
    <t>LEARNING</t>
  </si>
  <si>
    <t>LEISURE ACTIVITIES</t>
  </si>
  <si>
    <t>Do the difficulties put a burden on you or the family as a whole?</t>
  </si>
  <si>
    <t>Comments</t>
  </si>
  <si>
    <t>Diagnoses(Father)</t>
  </si>
  <si>
    <t>Diagnoses(mother)</t>
  </si>
  <si>
    <t>Diagnoses(Teacher)</t>
  </si>
  <si>
    <t>Self</t>
  </si>
  <si>
    <t>Father</t>
  </si>
  <si>
    <t>Mother</t>
  </si>
  <si>
    <t>Teacher</t>
  </si>
  <si>
    <t>Average</t>
  </si>
  <si>
    <t>Always on the go or acts as if \"driven by a motor\"</t>
  </si>
  <si>
    <t>Blurts answers before questions have been completed</t>
  </si>
  <si>
    <t>Total(mother)=(Sum of Diagnoses/No of Question)</t>
  </si>
  <si>
    <t>Total(Father)=(Sum of Diagnoses/No of Question)</t>
  </si>
  <si>
    <t>Total(Teacher)=(Sum of Diagnoses/No of Question)</t>
  </si>
  <si>
    <t>Diagnoses Sum/No of Question &lt;1.44 then  Relaxed /Apathy Else Hyperactivity/Impulsivity</t>
  </si>
  <si>
    <t>Diagnoses Sum/No of Question &lt;1.88 then Conduct Diorder Else Oppositional Defiant Disorder</t>
  </si>
  <si>
    <t>Childhood Autism Spectrum</t>
  </si>
  <si>
    <t>Multi-user</t>
  </si>
  <si>
    <t>Single-User</t>
  </si>
  <si>
    <t>Expected Result</t>
  </si>
  <si>
    <t>Diagnonsis(Mother)</t>
  </si>
  <si>
    <t>Diagnonsis(Father)</t>
  </si>
  <si>
    <t>Diagnosis(Teacher)</t>
  </si>
  <si>
    <t>Does s/he in playing games with other children easily?</t>
  </si>
  <si>
    <t>NO</t>
  </si>
  <si>
    <t>YES</t>
  </si>
  <si>
    <t>Does s/he come up to you spontaneously for a chat</t>
  </si>
  <si>
    <t>Was s/he speaking by 2 years old?</t>
  </si>
  <si>
    <t>Does s/he enjoy sports?</t>
  </si>
  <si>
    <t>Is it important to him/her to fit in with the peer group</t>
  </si>
  <si>
    <t>Does s/he appear to notice unusual details that others miss?</t>
  </si>
  <si>
    <t>Does s/he tend to take things literally?</t>
  </si>
  <si>
    <t>When s/he was 3 years old, did s/he spend a lot of time pretending (e.g., play-acting being a superhero, or holding teddy’s tea parties)?</t>
  </si>
  <si>
    <t>Does s/he like to do things over and over again,in the same way all the time?</t>
  </si>
  <si>
    <t>Does s/he find it easy to interact with other children?</t>
  </si>
  <si>
    <t>Can s/he keep a two-way conversation going?</t>
  </si>
  <si>
    <t>Can s/he read appropriately for his/her age?</t>
  </si>
  <si>
    <t>Does s/he mostly have the same interests as his/her peers?</t>
  </si>
  <si>
    <t>Does s/he have an interest which takes up so much time that s/he does little else?</t>
  </si>
  <si>
    <t>Does s/he have friends, rather than just acquaintances?</t>
  </si>
  <si>
    <t>Does s/he often bring you things s/he is interested in to show you?</t>
  </si>
  <si>
    <t>Does s/he enjoy joking around?</t>
  </si>
  <si>
    <t>Does s/he have difficulty understanding the rules for polite behaviour?</t>
  </si>
  <si>
    <t>Does s/he appear to have an unusual memory for details?</t>
  </si>
  <si>
    <t>Is his/her voice unusual (e.g., overly adult, flat, or very monotonous)?</t>
  </si>
  <si>
    <t>Are people important to him/her?</t>
  </si>
  <si>
    <t>Can s/he dress him/herself?</t>
  </si>
  <si>
    <t>Is s/he good at turn-taking in conversation?</t>
  </si>
  <si>
    <t>Does s/he play imaginatively with other children, and engage in role-play?</t>
  </si>
  <si>
    <t>Does s/he often do or say things that are tactless or socially inappropriate?</t>
  </si>
  <si>
    <t>Can s/he count to 50 without leaving out any numbers?</t>
  </si>
  <si>
    <t>Does s/he make normal eye-contact?</t>
  </si>
  <si>
    <t>Does s/he have any unusual and repetitive movements?</t>
  </si>
  <si>
    <t>Is his/her social behaviour very one-sided and always on his/her own terms?</t>
  </si>
  <si>
    <t>Does s/he sometimes say “you” or “s/he” when s/he means “I”?</t>
  </si>
  <si>
    <t>Does s/he prefer imaginative activities such as play-acting or story-telling, rather than numbers or lists of facts?</t>
  </si>
  <si>
    <t>Does s/he sometimes lose the listener because of not explaining what s/he is talking about?</t>
  </si>
  <si>
    <t>Can s/he ride a bicycle (even if with stabilisers)?</t>
  </si>
  <si>
    <t>Does s/he try to impose routines on him/herself, or on others, in such a way that it causes problems?</t>
  </si>
  <si>
    <t>Does s/he care how s/he is perceived by the rest of the group?</t>
  </si>
  <si>
    <t>Does s/he often turn conversations to his/her favourite subject rather than following what the other person wants to talk about?</t>
  </si>
  <si>
    <t>Does s/he have odd or unusual phrases?</t>
  </si>
  <si>
    <t>Have teachers/health visitors ever expressed any concerns about his/her development?</t>
  </si>
  <si>
    <t>Weiss Functional Impairment Rating Scale for ADHD</t>
  </si>
  <si>
    <t>SR.NO</t>
  </si>
  <si>
    <t>Never or not at all(0)</t>
  </si>
  <si>
    <t>Sometimes or somewhat(1)</t>
  </si>
  <si>
    <t>Often or much(2)</t>
  </si>
  <si>
    <t>Very often or very much(3)</t>
  </si>
  <si>
    <t>N/A</t>
  </si>
  <si>
    <t>Family</t>
  </si>
  <si>
    <t>Causing fighting in the family</t>
  </si>
  <si>
    <t xml:space="preserve">Having problems with brothers &amp; sisters </t>
  </si>
  <si>
    <t>Causing problems between parents</t>
  </si>
  <si>
    <t xml:space="preserve">Causing problems between parents </t>
  </si>
  <si>
    <t>Costs the family more money</t>
  </si>
  <si>
    <t xml:space="preserve">Takes time away from family members’ work or activities </t>
  </si>
  <si>
    <t>Receives detentions (during or after school)</t>
  </si>
  <si>
    <t xml:space="preserve">Causing fighting in the family </t>
  </si>
  <si>
    <t>Causes problems for the teacher in the classroom</t>
  </si>
  <si>
    <t xml:space="preserve"> Isolating the family from friends and social activities </t>
  </si>
  <si>
    <t>Problems with eating (picky eater, junk food)</t>
  </si>
  <si>
    <t xml:space="preserve"> Makes it hard for the family to have fun together </t>
  </si>
  <si>
    <t>Excessive use of TV, computer, or video games</t>
  </si>
  <si>
    <t xml:space="preserve">Makes parenting difficult </t>
  </si>
  <si>
    <t>Suspended or expelled from school</t>
  </si>
  <si>
    <t xml:space="preserve">Makes it hard to give fair attention to all family members </t>
  </si>
  <si>
    <t>Needs extra help at school</t>
  </si>
  <si>
    <t xml:space="preserve">Provokes others to hit or scream at him/her </t>
  </si>
  <si>
    <t>Receives grades that are not as good as his/her ability</t>
  </si>
  <si>
    <t>NA</t>
  </si>
  <si>
    <t>Difficulty keeping clean, brushing teeth, brushing hair, bathing, etc.</t>
  </si>
  <si>
    <t xml:space="preserve"> SCHOOL</t>
  </si>
  <si>
    <t>Isolating the family from friends and social activities</t>
  </si>
  <si>
    <t>Learning</t>
  </si>
  <si>
    <t>Misses classes or is late for school</t>
  </si>
  <si>
    <t xml:space="preserve">Makes it difficult to keep up with schoolwork </t>
  </si>
  <si>
    <t>Needs tutoring</t>
  </si>
  <si>
    <t xml:space="preserve">Needs extra help at school </t>
  </si>
  <si>
    <t>Makes it hard for the family to have fun together</t>
  </si>
  <si>
    <t xml:space="preserve"> Needs tutoring </t>
  </si>
  <si>
    <t>Makes parenting difficult</t>
  </si>
  <si>
    <t xml:space="preserve">Receives grades that are not as good as his/her ability </t>
  </si>
  <si>
    <t>Having problems with brothers &amp; sisters</t>
  </si>
  <si>
    <t>Behaviour</t>
  </si>
  <si>
    <t>Provokes others to hit or scream at him/her</t>
  </si>
  <si>
    <t xml:space="preserve">Causes problems for the teacher in the classroom </t>
  </si>
  <si>
    <t>Problems getting ready for bed</t>
  </si>
  <si>
    <t xml:space="preserve"> Receives ”time-out” or removal from the classroom </t>
  </si>
  <si>
    <t>Problems getting ready for school</t>
  </si>
  <si>
    <t xml:space="preserve">Having problems in the school yard </t>
  </si>
  <si>
    <t>Makes it difficult to keep up with schoolwork</t>
  </si>
  <si>
    <t xml:space="preserve">Receives detentions (during or after school) </t>
  </si>
  <si>
    <t>Having problems in the school yard</t>
  </si>
  <si>
    <t xml:space="preserve">Suspended or expelled from school </t>
  </si>
  <si>
    <t>Problems with sleeping</t>
  </si>
  <si>
    <t xml:space="preserve">Misses classes or is late for school </t>
  </si>
  <si>
    <t>Takes time away from family members’ work or activities</t>
  </si>
  <si>
    <t xml:space="preserve"> LIFE SKILLS</t>
  </si>
  <si>
    <t>Receives ”time-out” or removal from the classroom</t>
  </si>
  <si>
    <t xml:space="preserve"> Excessive use of TV, computer, or video games </t>
  </si>
  <si>
    <t>Makes it hard to give fair attention to all family members</t>
  </si>
  <si>
    <t xml:space="preserve">Keeping clean, brushing teeth, brushing hair, bathing, etc. </t>
  </si>
  <si>
    <t>Problems participating in after-school activities (sports, music, clubs)</t>
  </si>
  <si>
    <t xml:space="preserve">Problems getting ready for school </t>
  </si>
  <si>
    <t>Avoids exercise</t>
  </si>
  <si>
    <t xml:space="preserve">Problems getting ready for bed </t>
  </si>
  <si>
    <t>Being teased or bullied by other children</t>
  </si>
  <si>
    <t xml:space="preserve">Problems with eating (picky eater, junk food) </t>
  </si>
  <si>
    <t>Teases or bullies other children</t>
  </si>
  <si>
    <t xml:space="preserve">Problems with sleeping </t>
  </si>
  <si>
    <t>Has trouble taking medication, getting needles or visiting the doctor/dentist</t>
  </si>
  <si>
    <t xml:space="preserve">Gets hurt or injured </t>
  </si>
  <si>
    <t>Gets hurt or injured</t>
  </si>
  <si>
    <t xml:space="preserve">Avoids exercise </t>
  </si>
  <si>
    <t>Problems getting along with other children</t>
  </si>
  <si>
    <t xml:space="preserve">Needs more medical care </t>
  </si>
  <si>
    <t>Problems keeping friends</t>
  </si>
  <si>
    <t xml:space="preserve">Has trouble taking medication ,getting needles or visiting the doctor/dentist </t>
  </si>
  <si>
    <t>Problems making new friends</t>
  </si>
  <si>
    <t xml:space="preserve"> CHILD'S SELF-CONCEPT</t>
  </si>
  <si>
    <t>Needs more medical care</t>
  </si>
  <si>
    <t xml:space="preserve">1 My child feels bad about himself/herself </t>
  </si>
  <si>
    <t>My child does not have enough fun</t>
  </si>
  <si>
    <t xml:space="preserve">2 My child does not have enough fun </t>
  </si>
  <si>
    <t>My child is not happy with his/her life</t>
  </si>
  <si>
    <t xml:space="preserve">3 My child is not happy with his/her life </t>
  </si>
  <si>
    <t>Difficulty with parties (not invited, avoids them, misbehaves)</t>
  </si>
  <si>
    <t>SOCIAL ACTIVITIES</t>
  </si>
  <si>
    <t>Feels bad about himself/herself</t>
  </si>
  <si>
    <t xml:space="preserve"> Being teased or bullied by other children </t>
  </si>
  <si>
    <t>Smoking cigarettes</t>
  </si>
  <si>
    <t xml:space="preserve">Teases or bullies other children </t>
  </si>
  <si>
    <t>Breaking or damaging things</t>
  </si>
  <si>
    <t xml:space="preserve"> Problems getting along with other children </t>
  </si>
  <si>
    <t>Doing dangerous things</t>
  </si>
  <si>
    <t xml:space="preserve">Problems participating in after-school activities (sports, music, clubs) </t>
  </si>
  <si>
    <t>Doing things that are illegal</t>
  </si>
  <si>
    <t xml:space="preserve">Problems making new friends </t>
  </si>
  <si>
    <t>Taking illegal drugs</t>
  </si>
  <si>
    <t xml:space="preserve"> Problems keeping friends </t>
  </si>
  <si>
    <t>Causes injury to others</t>
  </si>
  <si>
    <t xml:space="preserve">Difficulty with parties (not invited, avoids them, misbehaves) </t>
  </si>
  <si>
    <t>Easily led by other children (peer pressure)</t>
  </si>
  <si>
    <t>RISKY ACTIVITIES</t>
  </si>
  <si>
    <t>Being involved with the police</t>
  </si>
  <si>
    <t xml:space="preserve"> Easily led by other children (peer pressure) </t>
  </si>
  <si>
    <t>Says mean or inappropriate things</t>
  </si>
  <si>
    <t xml:space="preserve"> Breaking or damaging things </t>
  </si>
  <si>
    <t>Sexually inappropriate behaviour</t>
  </si>
  <si>
    <t xml:space="preserve">Doing things that are illegal </t>
  </si>
  <si>
    <t xml:space="preserve">Being involved with the police </t>
  </si>
  <si>
    <t xml:space="preserve">Smoking cigarettes </t>
  </si>
  <si>
    <t xml:space="preserve">Taking illegal drugs </t>
  </si>
  <si>
    <t xml:space="preserve">Doing dangerous things </t>
  </si>
  <si>
    <t xml:space="preserve">Causes injury to others </t>
  </si>
  <si>
    <t xml:space="preserve">Says mean or inappropriate things </t>
  </si>
  <si>
    <t>A</t>
  </si>
  <si>
    <t>n/a</t>
  </si>
  <si>
    <t>B</t>
  </si>
  <si>
    <t>C</t>
  </si>
  <si>
    <t>D</t>
  </si>
  <si>
    <t>E</t>
  </si>
  <si>
    <t>F</t>
  </si>
  <si>
    <t>Details for Count of Group_Name - Group_Name:  CHILD'S SELF-CONCEPT</t>
  </si>
  <si>
    <t>Never or not at all   (0)</t>
  </si>
  <si>
    <t>Sometimes or somewhat  (1)</t>
  </si>
  <si>
    <t>Often or much  (2)</t>
  </si>
  <si>
    <t>Very often or very much (3)</t>
  </si>
  <si>
    <t>Group_Name</t>
  </si>
  <si>
    <t>Value</t>
  </si>
  <si>
    <t>Group_count</t>
  </si>
  <si>
    <t>Count of Never or not at all   (0)</t>
  </si>
  <si>
    <t>Count of Sometimes or somewhat  (1)</t>
  </si>
  <si>
    <t>Count of Often or much  (2)</t>
  </si>
  <si>
    <t>Count of Very often or very much (3)</t>
  </si>
  <si>
    <t>Final Result</t>
  </si>
  <si>
    <t xml:space="preserve"> SCHOOL Learning</t>
  </si>
  <si>
    <t>SCHOOL Behaviour</t>
  </si>
  <si>
    <t>(blank)</t>
  </si>
  <si>
    <t>Grand Total</t>
  </si>
  <si>
    <t>not impaired</t>
  </si>
  <si>
    <t>impaired(it contain 3)</t>
  </si>
  <si>
    <t>Difficulty Keeping clean, brushing teeth, brushing hair, bathing, etc.</t>
  </si>
  <si>
    <t>Has trouble taking medication,getting needles or visiting the doctor/dentist</t>
  </si>
  <si>
    <t>not-impaired</t>
  </si>
  <si>
    <t>impaired</t>
  </si>
  <si>
    <t xml:space="preserve">Symptoms </t>
  </si>
  <si>
    <t>Never(0)</t>
  </si>
  <si>
    <t>Occasionally(1)</t>
  </si>
  <si>
    <t>Often(2)</t>
  </si>
  <si>
    <t>Very Often(3)</t>
  </si>
  <si>
    <t xml:space="preserve">Excellent </t>
  </si>
  <si>
    <t xml:space="preserve">Above Average </t>
  </si>
  <si>
    <t>Somewhat of a problem</t>
  </si>
  <si>
    <t>Problematic</t>
  </si>
  <si>
    <t>Group</t>
  </si>
  <si>
    <t>Result_Count</t>
  </si>
  <si>
    <t>Does not pay close attention to details or makes careless mistakes with, for example, homework</t>
  </si>
  <si>
    <t>Inattentive</t>
  </si>
  <si>
    <t>Has difficulty keeping attention to what needs to be done</t>
  </si>
  <si>
    <t>Sum of Result_Count</t>
  </si>
  <si>
    <t>Result</t>
  </si>
  <si>
    <t>ADHD_Combined</t>
  </si>
  <si>
    <t>Does not follow through on instructions and fails to finish schoolwork, chores, or duties</t>
  </si>
  <si>
    <t>anxiety/depression</t>
  </si>
  <si>
    <t>Has difficulty organizing tasks and activities</t>
  </si>
  <si>
    <t>conduct Disorder</t>
  </si>
  <si>
    <t>Avoids, dislikes, or is reluctant to engage in tasks that require sustained mental effort (e.g.,
schoolwork or homework)</t>
  </si>
  <si>
    <t>hyperactive/Impulsive</t>
  </si>
  <si>
    <t>Loses things necessary for tasks or activities (e.g., toys, school assignments, pencils, books, or
tools)</t>
  </si>
  <si>
    <t>Is distracted by extraneous stimuli</t>
  </si>
  <si>
    <t>oppositional defiant disorder</t>
  </si>
  <si>
    <t>Is forgetful in daily activities</t>
  </si>
  <si>
    <t>Performance</t>
  </si>
  <si>
    <t xml:space="preserve"> Fidgets with hands or feet or squirms in s e a t</t>
  </si>
  <si>
    <t>Leaves seat in classroom or in other situations in which remaining seated is expected</t>
  </si>
  <si>
    <t>Runs about or climbs excessively in situations in which remaining seated is expected</t>
  </si>
  <si>
    <t>Has difficulty playing or engaging in leisure activities quietly</t>
  </si>
  <si>
    <t>Is “on the go” or often acts as if “driven by a motor”</t>
  </si>
  <si>
    <t>Blurts out answers before questions have been completed</t>
  </si>
  <si>
    <t>Has difficulty awaiting turn</t>
  </si>
  <si>
    <t xml:space="preserve"> Interrupts or intrudes on others (e.g., butts into conversations/games)</t>
  </si>
  <si>
    <t xml:space="preserve"> Loses temper</t>
  </si>
  <si>
    <t>Actively defies or refuses to go along with adult requests or rules</t>
  </si>
  <si>
    <t xml:space="preserve"> Deliberately annoys people</t>
  </si>
  <si>
    <t xml:space="preserve"> Blames others for his or her mistakes or misbehaviors</t>
  </si>
  <si>
    <t xml:space="preserve"> Is touchy or easily annoyed by others</t>
  </si>
  <si>
    <t>Is angry or resentful</t>
  </si>
  <si>
    <t>Is spiteful and wants to get even</t>
  </si>
  <si>
    <t>Bullies, threatens, or intimidates others</t>
  </si>
  <si>
    <t>Starts physical fights</t>
  </si>
  <si>
    <t>Lies to get out of trouble or to avoid obligations (ie, "cons" others)</t>
  </si>
  <si>
    <t>Is truant from school (skips school) without permission</t>
  </si>
  <si>
    <t xml:space="preserve"> Is physically cruel to people</t>
  </si>
  <si>
    <t xml:space="preserve"> Has stolen things that have value</t>
  </si>
  <si>
    <t>Deliberately destroys others' property</t>
  </si>
  <si>
    <t xml:space="preserve"> Has used a weapon that can cause serious harm (bat, knife, brick, gun)</t>
  </si>
  <si>
    <t xml:space="preserve"> Is physically cruel to animals</t>
  </si>
  <si>
    <t>Has deliberately set fires to cause damage</t>
  </si>
  <si>
    <t xml:space="preserve"> Has broken into someone else's home, business or car</t>
  </si>
  <si>
    <t>Has stayed out at night without permission</t>
  </si>
  <si>
    <t>Has run away from home overnight</t>
  </si>
  <si>
    <t>Has forced someone into sexual activity</t>
  </si>
  <si>
    <t>Is fearful, anxious, or worried</t>
  </si>
  <si>
    <t>Is afraid to try new things for fear of making mistakes</t>
  </si>
  <si>
    <t xml:space="preserve"> Feels worthless or inferior</t>
  </si>
  <si>
    <t xml:space="preserve"> Blames self for problems, feels guilty</t>
  </si>
  <si>
    <t xml:space="preserve"> Feels lonely, unwanted, or unloved; complains that "no one loves him or her"</t>
  </si>
  <si>
    <t xml:space="preserve"> Is sad, unhappy, or depressed</t>
  </si>
  <si>
    <t xml:space="preserve">Is self-conscious or easily embarrassed </t>
  </si>
  <si>
    <t>Academic Performance Excellent Above</t>
  </si>
  <si>
    <t>Reading</t>
  </si>
  <si>
    <t xml:space="preserve"> Mathematics</t>
  </si>
  <si>
    <t>Written Expression</t>
  </si>
  <si>
    <t xml:space="preserve">Performance Classroom Behavior </t>
  </si>
  <si>
    <t xml:space="preserve"> Relationship with peers</t>
  </si>
  <si>
    <t xml:space="preserve"> Following directions</t>
  </si>
  <si>
    <t>Disrupting class</t>
  </si>
  <si>
    <t>Assignment completion</t>
  </si>
  <si>
    <t>Organizational skills</t>
  </si>
  <si>
    <t>Diagnosis</t>
  </si>
  <si>
    <t>Count of Diagnosis</t>
  </si>
  <si>
    <t>Column Labels</t>
  </si>
  <si>
    <t>Row Labels</t>
  </si>
  <si>
    <t>School Learning</t>
  </si>
  <si>
    <t>School Behaviour</t>
  </si>
  <si>
    <t>Life Skills</t>
  </si>
  <si>
    <t>Social Activities</t>
  </si>
  <si>
    <t>Riskly</t>
  </si>
  <si>
    <t>Scoring the Strengths &amp; Difficulties Questionnaire for 2-4 year olds</t>
  </si>
  <si>
    <t>SomeWhat True</t>
  </si>
  <si>
    <t>Result(mother)</t>
  </si>
  <si>
    <t>Result (Father)</t>
  </si>
  <si>
    <t>Final Result(mother)</t>
  </si>
  <si>
    <t>Final Result(Father)</t>
  </si>
  <si>
    <t>Emotional problems scale</t>
  </si>
  <si>
    <t>Not  True</t>
  </si>
  <si>
    <t>Conduct problems Scale</t>
  </si>
  <si>
    <t>Hyperactivity scale</t>
  </si>
  <si>
    <t>Sum of Final Result(Father)</t>
  </si>
  <si>
    <t>Sum of Final Result(mother)</t>
  </si>
  <si>
    <t>Differences</t>
  </si>
  <si>
    <t>Peer problems scale</t>
  </si>
  <si>
    <t>Prosocial scale</t>
  </si>
  <si>
    <t>Total Difficulties Score</t>
  </si>
  <si>
    <t>No</t>
  </si>
  <si>
    <t>Scoring the Strengths &amp; Difficulties Questionnaire for 4-17 year olds</t>
  </si>
  <si>
    <t>Result(Mother)</t>
  </si>
  <si>
    <t>Result(Father)</t>
  </si>
  <si>
    <t>Often lies or cheats</t>
  </si>
  <si>
    <t>Differnces</t>
  </si>
  <si>
    <t>Steals from home, school or elsewhere</t>
  </si>
  <si>
    <t>Not At All(0)</t>
  </si>
  <si>
    <t>Several Days(1)</t>
  </si>
  <si>
    <t>More Than Half the Days(2)</t>
  </si>
  <si>
    <t>Nearly Every Day(3)</t>
  </si>
  <si>
    <t>Sum</t>
  </si>
  <si>
    <t>Command_Center_Result</t>
  </si>
  <si>
    <t>Pdf_Result</t>
  </si>
  <si>
    <t>Feeling down, depressed, irritable pr hopeless?</t>
  </si>
  <si>
    <t>Little interest or pleasure in doing things?</t>
  </si>
  <si>
    <t>Trouble falling asleep, staying asleep , or sleeping too much?</t>
  </si>
  <si>
    <t>Poor appetite, weight loss or overeating?</t>
  </si>
  <si>
    <t>Feeling tired, or having little energy?</t>
  </si>
  <si>
    <t>Feeling bad about yourself - or feeling that you are a failure, or that you have let yourself or your family down?</t>
  </si>
  <si>
    <t>Trouble concentrating on things like school work, reading, or watching TV?</t>
  </si>
  <si>
    <t>Moving or speaking so slowly that other people could have noticed? Or the opposite - being so fidgety or restless that you were moving around a lot more than usual?</t>
  </si>
  <si>
    <t>Thoughts that you would be better off dead , or of hurting yourself in some way?</t>
  </si>
  <si>
    <t>Details for Sum of Value - Group: Generalized Anxiety</t>
  </si>
  <si>
    <t>Group_1</t>
  </si>
  <si>
    <t>Generalized Anxiety</t>
  </si>
  <si>
    <t>Anxious generally</t>
  </si>
  <si>
    <t>Details for Sum of Value</t>
  </si>
  <si>
    <t>Major Depression</t>
  </si>
  <si>
    <t>Low mood</t>
  </si>
  <si>
    <t>Separation Anxiety</t>
  </si>
  <si>
    <t>Anxious away from home</t>
  </si>
  <si>
    <t>Obsessive-Compulsive</t>
  </si>
  <si>
    <t>Compelled to do or think things</t>
  </si>
  <si>
    <t>Panic Disorder</t>
  </si>
  <si>
    <t>Panic</t>
  </si>
  <si>
    <t>Social Phobia</t>
  </si>
  <si>
    <t>Anxious in social situations</t>
  </si>
  <si>
    <t>S.NO</t>
  </si>
  <si>
    <t>Sometimes(1)</t>
  </si>
  <si>
    <t>Always(3)</t>
  </si>
  <si>
    <t>Value 2</t>
  </si>
  <si>
    <t>My child worries about things</t>
  </si>
  <si>
    <t>My child feels sad or empty</t>
  </si>
  <si>
    <t>When my child has a problem, he/she gets a funny feeling in his/her stomach</t>
  </si>
  <si>
    <t>child_worries</t>
  </si>
  <si>
    <t>Sum of Value</t>
  </si>
  <si>
    <t>Sum of Value 2</t>
  </si>
  <si>
    <t>My child worries when he/she thinks he/she has done poorly at something</t>
  </si>
  <si>
    <t>something_awful</t>
  </si>
  <si>
    <t>My child worries that something awful will happen to someone in the family</t>
  </si>
  <si>
    <t>My child feels afraid of being alone at home</t>
  </si>
  <si>
    <t>bad_things</t>
  </si>
  <si>
    <t>My child worries that bad things will happen to him/her</t>
  </si>
  <si>
    <t>Nothing is much fun for my child anymore</t>
  </si>
  <si>
    <t>something_bad</t>
  </si>
  <si>
    <t>My child worries that something bad will happen to him/her</t>
  </si>
  <si>
    <t>My child feels scared when taking a test</t>
  </si>
  <si>
    <t>going_to_happen</t>
  </si>
  <si>
    <t>My child worries about what is going to happen</t>
  </si>
  <si>
    <t>My child worries when he/she thinks someone is angry with him/her</t>
  </si>
  <si>
    <t>death</t>
  </si>
  <si>
    <t>My child thinks about death</t>
  </si>
  <si>
    <t>My child worries about being away from me</t>
  </si>
  <si>
    <t>child_problem</t>
  </si>
  <si>
    <t>My child is bothered by bad or silly thoughts or pictures in his/her mind</t>
  </si>
  <si>
    <t>breathe</t>
  </si>
  <si>
    <t>My child suddenly feels as if he/she can't breathe when there is no reason for this</t>
  </si>
  <si>
    <t>My child has trouble sleeping</t>
  </si>
  <si>
    <t>really_fast</t>
  </si>
  <si>
    <t>When my child has a problem,his/her heart beats really fast</t>
  </si>
  <si>
    <t>Grand Total Anxiety and Depression/Total internalizing scale</t>
  </si>
  <si>
    <t>My child worries about doing badly at school work</t>
  </si>
  <si>
    <t>tremble</t>
  </si>
  <si>
    <t>My child suddenly starts to tremble or shake when there is no reason for this</t>
  </si>
  <si>
    <t>Overall anxiety/Total anxiety scale</t>
  </si>
  <si>
    <t>feels_shaky</t>
  </si>
  <si>
    <t>When my child has a problem, he/she feels shaky</t>
  </si>
  <si>
    <t>really_scared</t>
  </si>
  <si>
    <t>All of sudden my child will feel really scared for no reason at all</t>
  </si>
  <si>
    <t>My child has problems with his/her appetite</t>
  </si>
  <si>
    <t>dizzy_or_faint</t>
  </si>
  <si>
    <t>My child suddenly becomes dizzy or faint when there is no reason for this</t>
  </si>
  <si>
    <t>My child has to keep checking that he/she has done things right (like the switch is off , or the door is locked)</t>
  </si>
  <si>
    <t>suddenly_starts</t>
  </si>
  <si>
    <t>My child's heart suddenly starts to beat too quickly for no reason</t>
  </si>
  <si>
    <t>Age(1-7)yrs</t>
  </si>
  <si>
    <t>Age(8</t>
  </si>
  <si>
    <t>My child feels scared to sleep on his/her own</t>
  </si>
  <si>
    <t>scared_feeling</t>
  </si>
  <si>
    <t>My child worries that he/she will suddenly get a scared feeling when there is nothing to be afraid of</t>
  </si>
  <si>
    <t>My child has trouble going to school in the mornings because of feeling nervous or afraid</t>
  </si>
  <si>
    <t>child_poorly</t>
  </si>
  <si>
    <t>My child has no energy for things</t>
  </si>
  <si>
    <t>child_scared</t>
  </si>
  <si>
    <t>My child worries about looking foolish</t>
  </si>
  <si>
    <t>child_angry</t>
  </si>
  <si>
    <t>My child is tired a lot</t>
  </si>
  <si>
    <t>school_work</t>
  </si>
  <si>
    <t>looking_foolish</t>
  </si>
  <si>
    <t>My child can't seem to get bad or silly thoughts out of his/her head</t>
  </si>
  <si>
    <t>making_mistakes</t>
  </si>
  <si>
    <t>My child worries about making mistakes</t>
  </si>
  <si>
    <t>people_think</t>
  </si>
  <si>
    <t>My child worries what other people think of him/her</t>
  </si>
  <si>
    <t>Total anxiety and depression</t>
  </si>
  <si>
    <t>Total internalizing scale</t>
  </si>
  <si>
    <t>My child cannot think clearly</t>
  </si>
  <si>
    <t>feels_afraid</t>
  </si>
  <si>
    <t>My child feels afraid if he/she has to talk in front of the class</t>
  </si>
  <si>
    <t>Total anxiety scale</t>
  </si>
  <si>
    <t>Overall anxiety</t>
  </si>
  <si>
    <t>make_a_fool</t>
  </si>
  <si>
    <t>My child feels afraid that he/she will make a fool of him/herself in front of people</t>
  </si>
  <si>
    <t>child_feels</t>
  </si>
  <si>
    <t>nothing</t>
  </si>
  <si>
    <t>My child feels worthless</t>
  </si>
  <si>
    <t>trouble_sleeping</t>
  </si>
  <si>
    <t>child_appetite</t>
  </si>
  <si>
    <t>My child has to think of special thoughts (like numbers or words) to stop bad things from happenings</t>
  </si>
  <si>
    <t>energy</t>
  </si>
  <si>
    <t>child_worrie</t>
  </si>
  <si>
    <t>My child is afraid of being in crowded places (like shopping centers,the movies, buses, busy playgrounds)</t>
  </si>
  <si>
    <t>clearly</t>
  </si>
  <si>
    <t>worthless</t>
  </si>
  <si>
    <t>move</t>
  </si>
  <si>
    <t>My child feels like he/she doesn't want to move</t>
  </si>
  <si>
    <t>restless</t>
  </si>
  <si>
    <t>My child feels restless</t>
  </si>
  <si>
    <t>silly_thoughts</t>
  </si>
  <si>
    <t>things_right</t>
  </si>
  <si>
    <t>bad_or_silly</t>
  </si>
  <si>
    <t>special_thoughts</t>
  </si>
  <si>
    <t>over_again</t>
  </si>
  <si>
    <t>My child has to do some things over and over again (like washing hands , cleaning, or putting things in a certain order)</t>
  </si>
  <si>
    <t>right_way</t>
  </si>
  <si>
    <t>My child has to do some things in just the right way to stop bad things from happening</t>
  </si>
  <si>
    <t>child_afraid</t>
  </si>
  <si>
    <t>child_being_away</t>
  </si>
  <si>
    <t>My child worries when in bed at night</t>
  </si>
  <si>
    <t>feels_scared</t>
  </si>
  <si>
    <t>My child would feel scared if he/she had to stay away from home overnight</t>
  </si>
  <si>
    <t>trouble_going</t>
  </si>
  <si>
    <t>crowded_places</t>
  </si>
  <si>
    <t>bed_at_night</t>
  </si>
  <si>
    <t>overnight</t>
  </si>
  <si>
    <t>Desire to drink</t>
  </si>
  <si>
    <t>Emotional overeating</t>
  </si>
  <si>
    <t>Emotional undereating</t>
  </si>
  <si>
    <t>Enjoyment of food</t>
  </si>
  <si>
    <t>Food fussiness</t>
  </si>
  <si>
    <t>Food responsiveness</t>
  </si>
  <si>
    <t>Satiety responsiveness</t>
  </si>
  <si>
    <t>Slowness in eating</t>
  </si>
  <si>
    <t>Never(1/5)</t>
  </si>
  <si>
    <t>Rarely(2/4)</t>
  </si>
  <si>
    <t>Sometimes(3/3)</t>
  </si>
  <si>
    <t>Often (4/2)</t>
  </si>
  <si>
    <t>Always(5/1)</t>
  </si>
  <si>
    <t>My child loves food</t>
  </si>
  <si>
    <t>My child eats more when worried</t>
  </si>
  <si>
    <t>My child has a big appetite</t>
  </si>
  <si>
    <t>My child finishes his/her meal quickly</t>
  </si>
  <si>
    <t>My child is interested in food</t>
  </si>
  <si>
    <t>My child is always asking for a drink</t>
  </si>
  <si>
    <t>My child refuses new foods at first</t>
  </si>
  <si>
    <t>My child eats slowly</t>
  </si>
  <si>
    <t>My child eats less when angry</t>
  </si>
  <si>
    <t>My child enjoys tasting new foods</t>
  </si>
  <si>
    <t>My child eats less when s/he is tired</t>
  </si>
  <si>
    <t>My child is always asking for food</t>
  </si>
  <si>
    <t>My child eats more when annoyed</t>
  </si>
  <si>
    <t>If allowed to, my child would eat too much</t>
  </si>
  <si>
    <t>Count of Group</t>
  </si>
  <si>
    <t>My child eats more when anxious</t>
  </si>
  <si>
    <t>My child enjoys a wide variety of foods</t>
  </si>
  <si>
    <t>My child leaves food on his/her plate at the end of a meal</t>
  </si>
  <si>
    <t>My child takes more than 30 minutes to finish a meal</t>
  </si>
  <si>
    <t>Given the choice, my child would eat most of the time</t>
  </si>
  <si>
    <t>My child looks forward to mealtimes</t>
  </si>
  <si>
    <t>My child gets full before his/her meal is finished</t>
  </si>
  <si>
    <t>My child enjoys eating</t>
  </si>
  <si>
    <t>My child eats more when she is happy</t>
  </si>
  <si>
    <t>My child is difficult to please with meals</t>
  </si>
  <si>
    <t>My child eats less when upset</t>
  </si>
  <si>
    <t>My child gets full up easily</t>
  </si>
  <si>
    <t>My child eats more when s/he has nothing else to do</t>
  </si>
  <si>
    <t>Even if my child is full up s/he finds room to eat his/her favourite food</t>
  </si>
  <si>
    <t>If given the chance, my child would drink continuously throughout the day</t>
  </si>
  <si>
    <t>My child cannot eat a meal if s/he has had a snack just before</t>
  </si>
  <si>
    <t>If given the chance, my child would always be having a drink</t>
  </si>
  <si>
    <t>My child is interested in tasting food s/he hasn't tasted before</t>
  </si>
  <si>
    <t>My child decides that s/he doesn't like a food, even without tasting it</t>
  </si>
  <si>
    <t>If given the chance, my child would always be have food in his/her mouth</t>
  </si>
  <si>
    <t>My child eats more and more slowly during the course of a meal</t>
  </si>
  <si>
    <t>None of the time</t>
  </si>
  <si>
    <t>Rarely</t>
  </si>
  <si>
    <t>Some of the time</t>
  </si>
  <si>
    <t>Often</t>
  </si>
  <si>
    <t>All of the time</t>
  </si>
  <si>
    <t>I've been feeling optimistic about the future</t>
  </si>
  <si>
    <t>I've been feeling useful</t>
  </si>
  <si>
    <t>I've been feeling relaxed</t>
  </si>
  <si>
    <t>I've been feeling interested in other people</t>
  </si>
  <si>
    <t>I've had energy to spare</t>
  </si>
  <si>
    <t>I've been dealing with problems well</t>
  </si>
  <si>
    <t>I've been thinking clearly</t>
  </si>
  <si>
    <t>I've been feeling good about myself</t>
  </si>
  <si>
    <t>I've been feeling close to other people</t>
  </si>
  <si>
    <t>I've been feeling confident</t>
  </si>
  <si>
    <t>I've been able to make up my own mind about things</t>
  </si>
  <si>
    <t>I've been feeling loved</t>
  </si>
  <si>
    <t>I've been interested in new things</t>
  </si>
  <si>
    <t>I've been feeling cheerful</t>
  </si>
  <si>
    <t>Total_Score</t>
  </si>
  <si>
    <t>If Total score is &gt;44-&gt; No depression</t>
  </si>
  <si>
    <t>a score of &lt;41 is indicative of probable clinical depression.</t>
  </si>
  <si>
    <t>a score of 41-44 is indicative of possible/ mild depression</t>
  </si>
  <si>
    <t>I've been feeling optimistic aboutvthe future</t>
  </si>
  <si>
    <t>a score of &gt;18-20 is indicative of possible mild depression</t>
  </si>
  <si>
    <t>a score of 18 or less is indicative of probable clinical depression</t>
  </si>
  <si>
    <t>A score &gt;20 it will be -&gt;No Depression</t>
  </si>
  <si>
    <t>GAD-7 Assesment</t>
  </si>
  <si>
    <t>Several days(1)</t>
  </si>
  <si>
    <t>More than half the days(2)</t>
  </si>
  <si>
    <t>Nearly every day(3)</t>
  </si>
  <si>
    <t>Feeling nervous, anxious, or on edge</t>
  </si>
  <si>
    <t>Not being able to stop or control worrying</t>
  </si>
  <si>
    <t>Worrying too much about different things</t>
  </si>
  <si>
    <t>Trouble relaxing</t>
  </si>
  <si>
    <t>Being so restless that if is hard to sit still</t>
  </si>
  <si>
    <t>Becoming easily annoyed or irritable</t>
  </si>
  <si>
    <t>Feeling afraid, as if something awful might happen</t>
  </si>
  <si>
    <t>Pediatric Symptom Checklist (PSC-17)</t>
  </si>
  <si>
    <t>Often (2)</t>
  </si>
  <si>
    <t>Feels sad, unhappy</t>
  </si>
  <si>
    <t>Feels hopeless</t>
  </si>
  <si>
    <t>Is down on self</t>
  </si>
  <si>
    <t>Worries a lot</t>
  </si>
  <si>
    <t>Seems to be having less fun</t>
  </si>
  <si>
    <t>Fidgety, unable to sit still</t>
  </si>
  <si>
    <t>Daydreams too much</t>
  </si>
  <si>
    <t>Distracted easily</t>
  </si>
  <si>
    <t>Has trouble concentrating</t>
  </si>
  <si>
    <t>Acts as if driven by a motor</t>
  </si>
  <si>
    <t>Fights with other children</t>
  </si>
  <si>
    <t xml:space="preserve"> Does not listen to rules </t>
  </si>
  <si>
    <t>Does not understand other people’s feelings</t>
  </si>
  <si>
    <t>Teases others</t>
  </si>
  <si>
    <t>Blames others for his/her troubles</t>
  </si>
  <si>
    <t>Refuses to share</t>
  </si>
  <si>
    <t xml:space="preserve">Takes things that do not belong to him/her </t>
  </si>
  <si>
    <t>Not True
or Hardly
Ever True (0)</t>
  </si>
  <si>
    <t xml:space="preserve">
Somewhat
True or
Sometimes
True (1)</t>
  </si>
  <si>
    <t>Very True
or Often
True (2)</t>
  </si>
  <si>
    <t>Group Total</t>
  </si>
  <si>
    <t>Total Sum</t>
  </si>
  <si>
    <t xml:space="preserve">When my child feels frightened, it is hard for him/her to breathe </t>
  </si>
  <si>
    <t>Sum of Group Total</t>
  </si>
  <si>
    <t>Panic Disorder or Significant
Somatic Symptoms</t>
  </si>
  <si>
    <t xml:space="preserve">My child gets headaches when he/she is at school </t>
  </si>
  <si>
    <t>Generalized Anxiety Disorder</t>
  </si>
  <si>
    <t>School Avoidance</t>
  </si>
  <si>
    <t xml:space="preserve">My child doesn’t like to be with people he/she doesn’t know well </t>
  </si>
  <si>
    <t>Social Anxiety Disorder</t>
  </si>
  <si>
    <t xml:space="preserve">My child gets scared if he/she sleeps away from home </t>
  </si>
  <si>
    <t>Separation Anxiety Disorder</t>
  </si>
  <si>
    <t xml:space="preserve">My child worries about other people liking him/her </t>
  </si>
  <si>
    <t xml:space="preserve">When my child gets frightened, he/she feels like passing out </t>
  </si>
  <si>
    <t xml:space="preserve"> My child is nervous </t>
  </si>
  <si>
    <t>My child follows me wherever I go</t>
  </si>
  <si>
    <t xml:space="preserve">People tell me that my child looks nervous </t>
  </si>
  <si>
    <t xml:space="preserve">My child feels nervous with people he/she doesn’t know well </t>
  </si>
  <si>
    <t xml:space="preserve">My child gets stomachaches at school </t>
  </si>
  <si>
    <t xml:space="preserve">When my child gets frightened, he/she feels like he/she is going crazy </t>
  </si>
  <si>
    <t xml:space="preserve">My child worries about sleeping alone </t>
  </si>
  <si>
    <t xml:space="preserve">My child worries about being as good as other kids </t>
  </si>
  <si>
    <t xml:space="preserve">When he/she gets frightened, he/she feels like things are not real </t>
  </si>
  <si>
    <t xml:space="preserve">My child has nightmares about something bad happening to his/her parents </t>
  </si>
  <si>
    <t xml:space="preserve">My child worries about going to school </t>
  </si>
  <si>
    <t xml:space="preserve">When my child gets frightened, his/her heart beats fast </t>
  </si>
  <si>
    <t>He/she gets shaky</t>
  </si>
  <si>
    <t xml:space="preserve">My child has nightmares about something bad happening to him/her </t>
  </si>
  <si>
    <t xml:space="preserve">My child worries about things working out for him/her </t>
  </si>
  <si>
    <t xml:space="preserve">When my child gets frightened, he/she sweats a lot </t>
  </si>
  <si>
    <t xml:space="preserve">My child is a worrier </t>
  </si>
  <si>
    <t xml:space="preserve">My child gets really frightened for no reason at all </t>
  </si>
  <si>
    <t xml:space="preserve">My child is afraid to be alone in the house </t>
  </si>
  <si>
    <t xml:space="preserve">It is hard for my child to talk with people he/she doesn’t know well </t>
  </si>
  <si>
    <t xml:space="preserve">When my child gets frightened, he/she feels like he/she is choking </t>
  </si>
  <si>
    <t xml:space="preserve">People tell me that my child worries too much </t>
  </si>
  <si>
    <t xml:space="preserve">My child doesn’t like to be away from his/her family </t>
  </si>
  <si>
    <t xml:space="preserve">My child is afraid of having anxiety (or panic) attacks </t>
  </si>
  <si>
    <t xml:space="preserve">My child worries that something bad might happen to his/her parents </t>
  </si>
  <si>
    <t xml:space="preserve">My child feels shy with people he/she doesn’t know well </t>
  </si>
  <si>
    <t xml:space="preserve">My child worries about what is going to happen in the future </t>
  </si>
  <si>
    <t xml:space="preserve">When my child gets frightened, he/she feels like throwing up </t>
  </si>
  <si>
    <t xml:space="preserve">My child worries about how well he/she does things </t>
  </si>
  <si>
    <t xml:space="preserve">My child is scared to go to school </t>
  </si>
  <si>
    <t xml:space="preserve">My child worries about things that have already happened </t>
  </si>
  <si>
    <t xml:space="preserve">When my child gets frightened, he/she feels dizzy </t>
  </si>
  <si>
    <t>My child feels nervous when he/she is with other children or adults and he/she has to do something while they watch him/her (for example: read aloud, speak, play a game, play a sport)</t>
  </si>
  <si>
    <t xml:space="preserve">My child feels nervous when he/she is going to parties, dances, or any place where there will be people that he/she doesn’t know well </t>
  </si>
  <si>
    <t xml:space="preserve">My child is shy </t>
  </si>
  <si>
    <t>NOt_True(1)</t>
  </si>
  <si>
    <t>SomeWhat_True(2)</t>
  </si>
  <si>
    <t>Very_True(3)</t>
  </si>
  <si>
    <t>Understands some simple modifiers (i.e. green apple vs. red apple or big apple vs. small apple)</t>
  </si>
  <si>
    <t>Understands several modifiers in a sentence (i.e. small green apple)</t>
  </si>
  <si>
    <t>Understands size (can select the largest/smallest object out of a collection of objects)</t>
  </si>
  <si>
    <t>Understands possessive pronouns (i.e. your apple vs. her apple)</t>
  </si>
  <si>
    <t>Understands spatial prepositions (i.e. put the apple ON TOP of the box vs. INSIDE the box vs. BEHIND the box)</t>
  </si>
  <si>
    <t>Understands verb tenses (i.e. I will eat an apple vs. I ate an apple)</t>
  </si>
  <si>
    <t>Understands the change in meaning when the order of words is changed (i.e. understands the difference between 'a cat ate a mouse' vs. 'a mouse ate a cat')</t>
  </si>
  <si>
    <t>Understands simple stories that are read aloud</t>
  </si>
  <si>
    <t>Understands elaborate fairy tales that are read aloud (i.e. stories describing FANTASY creatures)</t>
  </si>
  <si>
    <t>Understands explanations about people, objects or situations beyond the immediate surroundings (e.g., “Mom is walking the dog,” “The snow has turned to water”)</t>
  </si>
  <si>
    <t>Draws a VARIETY of RECOGNIZABLE images (objects, people, animals, etc.)</t>
  </si>
  <si>
    <t>Can draw a NOVEL image following YOUR description (e.g. a three-headed horse)</t>
  </si>
  <si>
    <t>Engages in a VARIETY of make-believe activities (such as: playing house, playing with toy soldiers, building forts and castles, etc.)</t>
  </si>
  <si>
    <t>Understands NUMBERS (i.e. two apples vs. three apples)</t>
  </si>
  <si>
    <t>Can perform simple arithmetic: 2 + 3 = ?</t>
  </si>
  <si>
    <t>Can add larger numbers: 7 + 6 = ?</t>
  </si>
  <si>
    <t>Can perform simple subtraction: 3 – 2 = ?</t>
  </si>
  <si>
    <t>Can subtract larger numbers: 15 – 7 =?</t>
  </si>
  <si>
    <t>Can perform simple multiplication: 2 × 2 = ?</t>
  </si>
  <si>
    <t>Can multiply larger numbers: 6 × 7 =?</t>
  </si>
  <si>
    <t>Grand_Total_Score</t>
  </si>
  <si>
    <t>Questionaries</t>
  </si>
  <si>
    <t>Mostly</t>
  </si>
  <si>
    <t>Sometimes</t>
  </si>
  <si>
    <t>Never</t>
  </si>
  <si>
    <t>I look forward to things as much as I used to</t>
  </si>
  <si>
    <t>I sleep very well</t>
  </si>
  <si>
    <t>I feel like crying</t>
  </si>
  <si>
    <t>I like to go out to play</t>
  </si>
  <si>
    <t>I feel like running away</t>
  </si>
  <si>
    <t>I get tummy aches</t>
  </si>
  <si>
    <t>I have lots of energy</t>
  </si>
  <si>
    <t>I enjoy my food</t>
  </si>
  <si>
    <t>I can stick up for myself</t>
  </si>
  <si>
    <t>I think life isn't worth living</t>
  </si>
  <si>
    <t>I am good at the things I do</t>
  </si>
  <si>
    <t>I enjoy the things I do as much as I used to</t>
  </si>
  <si>
    <t>I like talking with my family</t>
  </si>
  <si>
    <t>I have bad dreams</t>
  </si>
  <si>
    <t>I feel very lonely</t>
  </si>
  <si>
    <t>I am easily cheered up</t>
  </si>
  <si>
    <t>I feel so sad I can hardly stand it</t>
  </si>
  <si>
    <t>I feel very bored</t>
  </si>
  <si>
    <t>Grand_Total</t>
  </si>
  <si>
    <t>Not True/Not descriptive/Not a problem(1)</t>
  </si>
  <si>
    <t>Minor problem/Somewhat descriptive/Somewhat true (2)</t>
  </si>
  <si>
    <t>Very true/Very descriptive/Moderate problem (3)</t>
  </si>
  <si>
    <t>Serious problem (4)</t>
  </si>
  <si>
    <t>Groups</t>
  </si>
  <si>
    <t>Group_Total</t>
  </si>
  <si>
    <t>Knows own name</t>
  </si>
  <si>
    <t>Responds to ‘No’ or ‘Stop’</t>
  </si>
  <si>
    <t>I. Speech/Language/Communication (14 Items)</t>
  </si>
  <si>
    <t>Can follow some commands</t>
  </si>
  <si>
    <t xml:space="preserve"> Speech/Language/Communication </t>
  </si>
  <si>
    <t>Can use one word at a time (No!, Eat, Water, etc.)</t>
  </si>
  <si>
    <t>Can use 2 words at a time (Don't want, Go home)</t>
  </si>
  <si>
    <t>Sum of Group_Total</t>
  </si>
  <si>
    <t>Can use 3 words at a time (Want more milk)</t>
  </si>
  <si>
    <t xml:space="preserve"> Sociability</t>
  </si>
  <si>
    <t>Knows 10 or more words</t>
  </si>
  <si>
    <t>Can use sentences with 4 or more words</t>
  </si>
  <si>
    <t>Health/Physical/Behavior</t>
  </si>
  <si>
    <t>Explains what he/she wants</t>
  </si>
  <si>
    <t>Sensory/Cognitive Awareness</t>
  </si>
  <si>
    <t>Asks meaningful questions</t>
  </si>
  <si>
    <t>Speech tends to be meaningful/relevant</t>
  </si>
  <si>
    <t>Often uses several successive sentences</t>
  </si>
  <si>
    <t>Carries on fairly good conversation</t>
  </si>
  <si>
    <t>Has normal ability to communicate for his/her age</t>
  </si>
  <si>
    <t>Seems to be in a shell – you cannot reach him/her</t>
  </si>
  <si>
    <t>Ignores other people</t>
  </si>
  <si>
    <t>Pays little or no attention when addressed</t>
  </si>
  <si>
    <t>II. Sociability (20 Items)</t>
  </si>
  <si>
    <t>Uncooperative and resistant</t>
  </si>
  <si>
    <t>No eye contact</t>
  </si>
  <si>
    <t>Prefers to be left alone</t>
  </si>
  <si>
    <t>Shows no affection</t>
  </si>
  <si>
    <t>Fails to greet parents</t>
  </si>
  <si>
    <t>Avoids contact with others</t>
  </si>
  <si>
    <t>Does not imitate</t>
  </si>
  <si>
    <t>Dislikes being held/cuddled</t>
  </si>
  <si>
    <t>Does not share or show</t>
  </si>
  <si>
    <t>Does not wave ‘bye bye</t>
  </si>
  <si>
    <t>Disagreeable/not compliant</t>
  </si>
  <si>
    <t>Temper tantrums</t>
  </si>
  <si>
    <t>Lacks friends/companions</t>
  </si>
  <si>
    <t>Rarely smiles</t>
  </si>
  <si>
    <t>Insensitive to other's feelings</t>
  </si>
  <si>
    <t>Indifferent to being liked</t>
  </si>
  <si>
    <t>Indifferent if parent(s) leave</t>
  </si>
  <si>
    <t>Responds to own name</t>
  </si>
  <si>
    <t>Responds to praise</t>
  </si>
  <si>
    <t>Looks at people and animals</t>
  </si>
  <si>
    <t>Looks at pictures (and T.V.)</t>
  </si>
  <si>
    <t>III. Sensory/Cognitive Awareness (18 Items)</t>
  </si>
  <si>
    <t>Does drawing, coloring, art</t>
  </si>
  <si>
    <t>Plays with toys appropriately</t>
  </si>
  <si>
    <t>Appropriate facial expression</t>
  </si>
  <si>
    <t>Understands stories on T.V.</t>
  </si>
  <si>
    <t>Understands explanations</t>
  </si>
  <si>
    <t>Aware of environment</t>
  </si>
  <si>
    <t>Aware of danger</t>
  </si>
  <si>
    <t>Shows imagination</t>
  </si>
  <si>
    <t>Initiates activities</t>
  </si>
  <si>
    <t>Dresses self</t>
  </si>
  <si>
    <t>Curious, interested</t>
  </si>
  <si>
    <t>Venturesome - explores</t>
  </si>
  <si>
    <t>“Tuned in” — Not spacey</t>
  </si>
  <si>
    <t>Looks where others are looking</t>
  </si>
  <si>
    <t>Bed-wetting</t>
  </si>
  <si>
    <t>Wets pants/diapers</t>
  </si>
  <si>
    <t>Soils pants/diapers</t>
  </si>
  <si>
    <t>Diarrhea</t>
  </si>
  <si>
    <t>Constipation</t>
  </si>
  <si>
    <t>IV. Health/Physical/Behavior (25 Items)</t>
  </si>
  <si>
    <t>Sleep problems</t>
  </si>
  <si>
    <t>Eats too much/too little</t>
  </si>
  <si>
    <t>Extremely limited diet</t>
  </si>
  <si>
    <t>Hyperactive</t>
  </si>
  <si>
    <t>Lethargic</t>
  </si>
  <si>
    <t>Hits or injures self</t>
  </si>
  <si>
    <t>Hits or injures others</t>
  </si>
  <si>
    <t>Destructive</t>
  </si>
  <si>
    <t>Sound-sensitive</t>
  </si>
  <si>
    <t>Anxious/fearful</t>
  </si>
  <si>
    <t>Unhappy/crying</t>
  </si>
  <si>
    <t>Seizures</t>
  </si>
  <si>
    <t>Obsessive speech</t>
  </si>
  <si>
    <t>Rigid routines</t>
  </si>
  <si>
    <t>Shouts or screams</t>
  </si>
  <si>
    <t>Demands sameness</t>
  </si>
  <si>
    <t>Often agitated</t>
  </si>
  <si>
    <t>Not sensitive to pain</t>
  </si>
  <si>
    <t>“Hooked” or fixated on certain objects/topics</t>
  </si>
  <si>
    <t>Repetitive movements (stimming, rocking, etc.)</t>
  </si>
  <si>
    <t>Features</t>
  </si>
  <si>
    <t>Clinician Login</t>
  </si>
  <si>
    <t>Add Patient</t>
  </si>
  <si>
    <t>Create child</t>
  </si>
  <si>
    <t xml:space="preserve">Assign Forms </t>
  </si>
  <si>
    <t>Command Center(Assessment,tracker)</t>
  </si>
  <si>
    <t>Assesments</t>
  </si>
  <si>
    <t>NOtes/Files/Audio</t>
  </si>
  <si>
    <t>Reccomanded</t>
  </si>
  <si>
    <t>Assign form to Clinic(API)</t>
  </si>
  <si>
    <t>Add Clinician to clinic(API)</t>
  </si>
  <si>
    <t>Contact Us</t>
  </si>
  <si>
    <t>Report Download</t>
  </si>
  <si>
    <t>Parent Login</t>
  </si>
  <si>
    <t>Symptoms Checker</t>
  </si>
  <si>
    <t>One pager</t>
  </si>
  <si>
    <t>Multi-Language</t>
  </si>
  <si>
    <t>AddChild</t>
  </si>
  <si>
    <t>Assesments List</t>
  </si>
  <si>
    <t>Share functionality for Multi-assessment</t>
  </si>
  <si>
    <t>Resource</t>
  </si>
  <si>
    <t>Event</t>
  </si>
  <si>
    <t>The Survey Of Well Being Young Children 2 Months</t>
  </si>
  <si>
    <t>Not Yet/Not At All(0)/Never True/Never at all/No tension/No difficulty/No</t>
  </si>
  <si>
    <t>Somewhat(1)/Sometime True/Several days/Some tension/Some difficulty/Yes</t>
  </si>
  <si>
    <t>Very Much(2)/Often True/More than half the days/A lot of tension/Great difficulty</t>
  </si>
  <si>
    <t>Sum of Answer</t>
  </si>
  <si>
    <t>Makes sounds that let you know he or she is happy or upset</t>
  </si>
  <si>
    <t>DEVELOPMENTAL MILESTONES</t>
  </si>
  <si>
    <t>Seems happy to see you</t>
  </si>
  <si>
    <t>Follows a moving toy with his or her eyes</t>
  </si>
  <si>
    <t>Turns head to find the person who is talking</t>
  </si>
  <si>
    <t>Holds head steady when being pulled up to a sitting position</t>
  </si>
  <si>
    <t>Brings hand together</t>
  </si>
  <si>
    <t>Laughs</t>
  </si>
  <si>
    <t>Answer</t>
  </si>
  <si>
    <t>Keeps head steady when held in a sitting position</t>
  </si>
  <si>
    <t>BPSC Inflexibility</t>
  </si>
  <si>
    <t>Makes sounds like 'ga','ma,'ba'</t>
  </si>
  <si>
    <t>BPSC Irritability</t>
  </si>
  <si>
    <t>Looks when you call his or her name</t>
  </si>
  <si>
    <t>BPSC Routines</t>
  </si>
  <si>
    <t>Does your child have a hard time being with new people?</t>
  </si>
  <si>
    <t>Does your child have a hard time in new places?</t>
  </si>
  <si>
    <t>FAMILY QUESTIONS DISORDER</t>
  </si>
  <si>
    <t>Does your child have a hard time with change?</t>
  </si>
  <si>
    <t>FAMILY QUESTIONS TOBACCO(Yes/NO)</t>
  </si>
  <si>
    <t>Does your child mind being held by other people?</t>
  </si>
  <si>
    <t>Does your child cry a lot?</t>
  </si>
  <si>
    <t>FAMILY QUESTIONS INSECURITY</t>
  </si>
  <si>
    <t>Does your child have a hard time calming down?</t>
  </si>
  <si>
    <t>FAMILY QUESTIONS DEPRESSION</t>
  </si>
  <si>
    <t>Is your child fussy or irritable?</t>
  </si>
  <si>
    <t>FAMILY QUESTIONS DOMESTIC VIOLENCE</t>
  </si>
  <si>
    <t>Is it hard to comfort your child?</t>
  </si>
  <si>
    <t>Is it hard to keep your child on a schedule or routine?</t>
  </si>
  <si>
    <t>Is it hard to put your child to sleep?</t>
  </si>
  <si>
    <t>Sum of Sum</t>
  </si>
  <si>
    <t>Is it hard to get enough sleep because of your child?</t>
  </si>
  <si>
    <t>Does your child have trouble staying asleep?</t>
  </si>
  <si>
    <t>Does anyone who lives with child smoke tobacco?</t>
  </si>
  <si>
    <t>In the last year , have you ever drunk alcohol or used drugs more than you meant to?</t>
  </si>
  <si>
    <t>Have you felt you wanted or needed to cut down on your drinking or drug use in the last year?</t>
  </si>
  <si>
    <t>Has a family member's drinking or drug use ever had a bad effect on your child?</t>
  </si>
  <si>
    <t>Within the past 12 months , we worried whether our food would run out before we got money to buy more</t>
  </si>
  <si>
    <t>Having little interest or pleasure in doing things?</t>
  </si>
  <si>
    <t>Feeling down,depressed, or hopeless?</t>
  </si>
  <si>
    <t>In general , how would you describe your relationship with your spouse/partner?</t>
  </si>
  <si>
    <t>Do you and your partner work out arguments with:</t>
  </si>
  <si>
    <t>The Survey Of Well Being Young Children 4 Months</t>
  </si>
  <si>
    <t>Rolls over</t>
  </si>
  <si>
    <t>Passes a toy from one hand to the other</t>
  </si>
  <si>
    <t>Looks for you or another caregiver when upset</t>
  </si>
  <si>
    <t>Holds two objects and bangs them together</t>
  </si>
  <si>
    <t>FAMILY QUESTIONS TOBACCO</t>
  </si>
  <si>
    <t>The Survey Of Well Being Young Children 6 Months</t>
  </si>
  <si>
    <t>Holds up arms to be picked up</t>
  </si>
  <si>
    <t>Gets into a sitting position by him or herself</t>
  </si>
  <si>
    <t>Picks up food and eats it</t>
  </si>
  <si>
    <t>Pulls up to standing</t>
  </si>
  <si>
    <t>The Survey Of Well Being Young Children 9 Months</t>
  </si>
  <si>
    <t>Plays games like 'peek-a-poo' or 'pat-a-cake'</t>
  </si>
  <si>
    <t>Calls you 'mama' or 'dada' or similar name</t>
  </si>
  <si>
    <t>Looks around when you say things like 'Where's your bottle?' or 'Where's your blanket?</t>
  </si>
  <si>
    <t>Copies sounds that you make</t>
  </si>
  <si>
    <t>Walks across a room without help</t>
  </si>
  <si>
    <t>Follows directions - like 'Come here' or 'Give me the ball'</t>
  </si>
  <si>
    <t>The Survey Of Well Being Young Children 12 Months</t>
  </si>
  <si>
    <t>Runs</t>
  </si>
  <si>
    <t>The Survey Of Well Being Young Children 15 Months</t>
  </si>
  <si>
    <t>Walks up stairs with help</t>
  </si>
  <si>
    <t>Kicks a ball</t>
  </si>
  <si>
    <t>Names at least 5 familiar objects - like ball or milk</t>
  </si>
  <si>
    <t>Names at least 5 body parts - like nose , hand , or tummy</t>
  </si>
  <si>
    <t>The Survey Of Well Being Young Children 18 Months</t>
  </si>
  <si>
    <t>Not Yet/Not At All(0)/Never True/Never at all/No tension/No difficulty/No/“Many times a day” and "A few times a day"/ 
"Always" and “usually”</t>
  </si>
  <si>
    <t>Somewhat(1)/Sometime True/Several days/Some tension/Some difficulty/Yes/"a_few_times_a_week", "Less than once a week", "Never"/"Sometimes", "Rarely", "Never"</t>
  </si>
  <si>
    <t>Climbs up a ladder at a playground</t>
  </si>
  <si>
    <t>Uses words like 'me' or 'mine'</t>
  </si>
  <si>
    <t>Jumps off the ground with two feet</t>
  </si>
  <si>
    <t>POSI</t>
  </si>
  <si>
    <t>Puts 2 or more words together - like 'more water' or 'go outside'</t>
  </si>
  <si>
    <t>PPSC</t>
  </si>
  <si>
    <t>Uses words to ask for help</t>
  </si>
  <si>
    <t>Does your child seems nervous or afraid?</t>
  </si>
  <si>
    <t>Does your child seems sad or happy?</t>
  </si>
  <si>
    <t>Does your get upset if things are not done un a certain way?</t>
  </si>
  <si>
    <t>Does your child have hard time wth change?</t>
  </si>
  <si>
    <t>Does your child have trouble playing with other children?</t>
  </si>
  <si>
    <t>Does your child break things on purpose?</t>
  </si>
  <si>
    <t>Does your child fight with other children?</t>
  </si>
  <si>
    <t>Does your child have trouble paying attention?</t>
  </si>
  <si>
    <t>Does your child have trouble staying with one activity?</t>
  </si>
  <si>
    <t>Is your child aggressive?</t>
  </si>
  <si>
    <t>Is your child fidgety or unable to sit still?</t>
  </si>
  <si>
    <t>Is your child angry?</t>
  </si>
  <si>
    <t>Is it hard to take your child out in public?</t>
  </si>
  <si>
    <t>Is it hard comfort your child ?</t>
  </si>
  <si>
    <t>Is it hard to know what your child needs?</t>
  </si>
  <si>
    <t>Is it hard to keep your child on a schedule or routine</t>
  </si>
  <si>
    <t>Is it hard to get your child to obey you</t>
  </si>
  <si>
    <t>Does your child bring things to you to show them to you?</t>
  </si>
  <si>
    <t>Is your child interested in playing with other children?</t>
  </si>
  <si>
    <t>When you say a word or wave your hand, will your child try to copy you?</t>
  </si>
  <si>
    <t>Does your child look at you when you call his or her name?</t>
  </si>
  <si>
    <t>Does your child look if you point to something across the room?</t>
  </si>
  <si>
    <t>The Survey Of Well Being Young Children 24 Months</t>
  </si>
  <si>
    <t>Names at least one color</t>
  </si>
  <si>
    <t>Tries to get you to watch by saying 'Look at me'</t>
  </si>
  <si>
    <t>Says his or her first name when asked</t>
  </si>
  <si>
    <t>Draws lines</t>
  </si>
  <si>
    <t>The Survey Of Well Being Young Children 30 Months</t>
  </si>
  <si>
    <t>Talks so other people can understand him or her most of the time</t>
  </si>
  <si>
    <t>Washes and dries hands without help (even if you turn on the water)</t>
  </si>
  <si>
    <t>Asks questions beginning with 'why' or 'how' like 'Why no cookie?'</t>
  </si>
  <si>
    <t>Explains the reasons for things, like needing a sweater when it's cold</t>
  </si>
  <si>
    <t>Compares things using words like 'bigger' or 'shorter'</t>
  </si>
  <si>
    <t>Answers questions like 'What do you do when you are cold?' or '«when you are sleepy?'</t>
  </si>
  <si>
    <t>The Survey Of Well Being Young Children 36 Months</t>
  </si>
  <si>
    <t>Tells you a story from a book or tv</t>
  </si>
  <si>
    <t>Draws simple shapes - like a circle or a square</t>
  </si>
  <si>
    <t>Says words like 'feet' for more than one foot and 'men' for more than one man</t>
  </si>
  <si>
    <t>Uses words like 'yesterday' and 'tomorrow' correctly</t>
  </si>
  <si>
    <t>The Survey Of Well Being Young Children 48 Months</t>
  </si>
  <si>
    <t>Stays dry all night</t>
  </si>
  <si>
    <t>Follows simple rules when playing a board game or card game</t>
  </si>
  <si>
    <t>Prints his or her name</t>
  </si>
  <si>
    <t>Draws picture you recognize</t>
  </si>
  <si>
    <t>The Survey Of Well Being Young Children 60  Months</t>
  </si>
  <si>
    <t>Stays in the lines when coloring</t>
  </si>
  <si>
    <t>Names the days of the week in the correct order</t>
  </si>
  <si>
    <t xml:space="preserve">Recommendation </t>
  </si>
  <si>
    <t>Need the validation for email id(for any users)</t>
  </si>
  <si>
    <t>There should be the column to show the assigned form count with filled form(i.e. 5 assign and filled 4 it should be show as 1 pending)</t>
  </si>
  <si>
    <t>There should be a visibility of previous history logs if we add a new child which is already exist</t>
  </si>
  <si>
    <t>There should be options to remove the assessments OR add one  liner in email that previous assigned forms are removed in the bold</t>
  </si>
  <si>
    <t>According to age group the form should be visible to the patient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</si>
</sst>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1"/>
      <color theme="1"/>
      <name val="Calibri"/>
      <family val="2"/>
      <scheme val="minor"/>
    </font>
    <font>
      <b/>
      <sz val="11"/>
      <color rgb="FF000000"/>
      <name val="Times New Roman"/>
      <family val="1"/>
    </font>
    <font>
      <sz val="11"/>
      <color rgb="FF000000"/>
      <name val="Times New Roman"/>
      <family val="1"/>
    </font>
    <font>
      <sz val="14"/>
      <color rgb="FF000000"/>
      <name val="__satoshi_ba7a58"/>
    </font>
    <font>
      <sz val="10"/>
      <color rgb="FF000000"/>
      <name val="Verdana"/>
      <family val="2"/>
    </font>
    <font>
      <sz val="11"/>
      <color theme="1"/>
      <name val="Arial"/>
      <family val="2"/>
    </font>
    <font>
      <sz val="10"/>
      <color theme="1"/>
      <name val="Arial"/>
      <family val="2"/>
    </font>
    <font>
      <sz val="10"/>
      <color rgb="FF000000"/>
      <name val="Arial"/>
      <family val="2"/>
    </font>
    <font>
      <sz val="12"/>
      <color rgb="FF000000"/>
      <name val="Arial"/>
      <family val="2"/>
    </font>
    <font>
      <sz val="10"/>
      <color theme="1"/>
      <name val="Verdana"/>
      <family val="2"/>
    </font>
    <font>
      <b/>
      <sz val="10"/>
      <color theme="1"/>
      <name val="Verdana"/>
      <family val="2"/>
    </font>
    <font>
      <sz val="9"/>
      <color rgb="FF000000"/>
      <name val="Verdana"/>
      <family val="2"/>
    </font>
    <font>
      <b/>
      <i/>
      <sz val="12"/>
      <color rgb="FF383838"/>
      <name val="Arial"/>
      <family val="2"/>
    </font>
    <font>
      <sz val="13.5"/>
      <color rgb="FF000000"/>
      <name val="__Satoshi_Ba7A58"/>
      <charset val="1"/>
    </font>
    <font>
      <b/>
      <sz val="13.5"/>
      <color theme="1"/>
      <name val="Calibri"/>
      <family val="2"/>
      <scheme val="minor"/>
    </font>
    <font>
      <b/>
      <sz val="13.5"/>
      <color rgb="FF000000"/>
      <name val="__Satoshi_Ba7A58"/>
      <charset val="1"/>
    </font>
    <font>
      <sz val="13.5"/>
      <color theme="1"/>
      <name val="Calibri"/>
      <family val="2"/>
      <scheme val="minor"/>
    </font>
  </fonts>
  <fills count="17">
    <fill>
      <patternFill patternType="none"/>
    </fill>
    <fill>
      <patternFill patternType="gray125"/>
    </fill>
    <fill>
      <patternFill patternType="solid">
        <fgColor rgb="FFFFC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rgb="FF00B0F0"/>
        <bgColor indexed="64"/>
      </patternFill>
    </fill>
    <fill>
      <patternFill patternType="solid">
        <fgColor rgb="FF0070C0"/>
        <bgColor indexed="64"/>
      </patternFill>
    </fill>
    <fill>
      <patternFill patternType="solid">
        <fgColor theme="0"/>
        <bgColor indexed="64"/>
      </patternFill>
    </fill>
    <fill>
      <patternFill patternType="solid">
        <fgColor theme="4" tint="0.79998168889431442"/>
        <bgColor indexed="64"/>
      </patternFill>
    </fill>
    <fill>
      <patternFill patternType="solid">
        <fgColor rgb="FF92D050"/>
        <bgColor indexed="64"/>
      </patternFill>
    </fill>
    <fill>
      <patternFill patternType="solid">
        <fgColor rgb="FFFFFF0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000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ck">
        <color rgb="FF000000"/>
      </left>
      <right/>
      <top/>
      <bottom style="thick">
        <color rgb="FF000000"/>
      </bottom>
      <diagonal/>
    </border>
    <border>
      <left style="thick">
        <color rgb="FF000000"/>
      </left>
      <right/>
      <top/>
      <bottom/>
      <diagonal/>
    </border>
    <border>
      <left style="thick">
        <color rgb="FF000000"/>
      </left>
      <right/>
      <top style="thick">
        <color rgb="FF000000"/>
      </top>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bottom style="thin">
        <color rgb="FF000000"/>
      </bottom>
      <diagonal/>
    </border>
    <border>
      <left style="thick">
        <color rgb="FF000000"/>
      </left>
      <right style="thick">
        <color auto="1"/>
      </right>
      <top/>
      <bottom/>
      <diagonal/>
    </border>
    <border>
      <left style="thick">
        <color rgb="FF000000"/>
      </left>
      <right style="thick">
        <color auto="1"/>
      </right>
      <top/>
      <bottom style="thick">
        <color auto="1"/>
      </bottom>
      <diagonal/>
    </border>
    <border>
      <left style="thick">
        <color rgb="FF000000"/>
      </left>
      <right style="thick">
        <color auto="1"/>
      </right>
      <top style="thick">
        <color auto="1"/>
      </top>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rgb="FF000000"/>
      </bottom>
      <diagonal/>
    </border>
    <border>
      <left style="thin">
        <color rgb="FF000000"/>
      </left>
      <right style="thin">
        <color rgb="FF000000"/>
      </right>
      <top/>
      <bottom/>
      <diagonal/>
    </border>
    <border>
      <left style="thick">
        <color rgb="FF000000"/>
      </left>
      <right style="thick">
        <color auto="1"/>
      </right>
      <top/>
      <bottom style="thick">
        <color rgb="FF000000"/>
      </bottom>
      <diagonal/>
    </border>
    <border>
      <left style="thick">
        <color rgb="FF000000"/>
      </left>
      <right/>
      <top style="thick">
        <color auto="1"/>
      </top>
      <bottom/>
      <diagonal/>
    </border>
    <border>
      <left style="thick">
        <color rgb="FF000000"/>
      </left>
      <right/>
      <top/>
      <bottom style="thick">
        <color auto="1"/>
      </bottom>
      <diagonal/>
    </border>
    <border>
      <left style="thin">
        <color rgb="FF000000"/>
      </left>
      <right/>
      <top/>
      <bottom/>
      <diagonal/>
    </border>
    <border>
      <left style="thin">
        <color rgb="FF000000"/>
      </left>
      <right/>
      <top/>
      <bottom style="thin">
        <color rgb="FF000000"/>
      </bottom>
      <diagonal/>
    </border>
    <border>
      <left/>
      <right/>
      <top style="thin">
        <color rgb="FF000000"/>
      </top>
      <bottom/>
      <diagonal/>
    </border>
  </borders>
  <cellStyleXfs count="1">
    <xf numFmtId="0" fontId="0" fillId="0" borderId="0"/>
  </cellStyleXfs>
  <cellXfs count="296">
    <xf numFmtId="0" fontId="0" fillId="0" borderId="0" xfId="0"/>
    <xf numFmtId="0" fontId="1" fillId="2" borderId="1" xfId="0" applyFont="1" applyFill="1" applyBorder="1" applyAlignment="1">
      <alignment horizontal="center" vertical="center" wrapText="1"/>
    </xf>
    <xf numFmtId="0" fontId="0" fillId="0" borderId="1" xfId="0" applyBorder="1"/>
    <xf numFmtId="0" fontId="0" fillId="0" borderId="1" xfId="0" applyBorder="1" applyAlignment="1">
      <alignment vertical="center" wrapText="1"/>
    </xf>
    <xf numFmtId="0" fontId="0" fillId="0" borderId="1" xfId="0" applyBorder="1" applyAlignment="1">
      <alignment horizontal="center"/>
    </xf>
    <xf numFmtId="0" fontId="0" fillId="0" borderId="0" xfId="0" applyAlignment="1">
      <alignment horizontal="center"/>
    </xf>
    <xf numFmtId="0" fontId="1" fillId="2" borderId="1" xfId="0" applyFont="1" applyFill="1" applyBorder="1" applyAlignment="1">
      <alignment horizontal="center"/>
    </xf>
    <xf numFmtId="0" fontId="0" fillId="4" borderId="1" xfId="0" applyFill="1" applyBorder="1" applyAlignment="1">
      <alignment horizontal="center"/>
    </xf>
    <xf numFmtId="0" fontId="0" fillId="4" borderId="1" xfId="0" applyFill="1" applyBorder="1" applyAlignment="1">
      <alignment horizontal="center" vertical="center" wrapText="1"/>
    </xf>
    <xf numFmtId="0" fontId="0" fillId="4" borderId="1" xfId="0" applyFill="1" applyBorder="1" applyAlignment="1">
      <alignment vertical="center" wrapText="1"/>
    </xf>
    <xf numFmtId="0" fontId="0" fillId="4" borderId="1" xfId="0" applyFill="1" applyBorder="1"/>
    <xf numFmtId="0" fontId="0" fillId="5" borderId="1" xfId="0" applyFill="1" applyBorder="1" applyAlignment="1">
      <alignment horizontal="center"/>
    </xf>
    <xf numFmtId="0" fontId="0" fillId="5" borderId="1" xfId="0" applyFill="1" applyBorder="1" applyAlignment="1">
      <alignment horizontal="center" vertical="center" wrapText="1"/>
    </xf>
    <xf numFmtId="0" fontId="0" fillId="5" borderId="1" xfId="0" applyFill="1" applyBorder="1" applyAlignment="1">
      <alignment vertical="center" wrapText="1"/>
    </xf>
    <xf numFmtId="0" fontId="0" fillId="5" borderId="1" xfId="0" applyFill="1" applyBorder="1"/>
    <xf numFmtId="0" fontId="0" fillId="6" borderId="1" xfId="0" applyFill="1" applyBorder="1" applyAlignment="1">
      <alignment horizontal="center"/>
    </xf>
    <xf numFmtId="0" fontId="0" fillId="6" borderId="1" xfId="0" applyFill="1" applyBorder="1" applyAlignment="1">
      <alignment horizontal="center" vertical="center" wrapText="1"/>
    </xf>
    <xf numFmtId="0" fontId="0" fillId="6" borderId="1" xfId="0" applyFill="1" applyBorder="1" applyAlignment="1">
      <alignment vertical="center" wrapText="1"/>
    </xf>
    <xf numFmtId="0" fontId="0" fillId="6" borderId="1" xfId="0" applyFill="1" applyBorder="1"/>
    <xf numFmtId="0" fontId="0" fillId="4" borderId="1" xfId="0" applyFill="1" applyBorder="1" applyAlignment="1">
      <alignment wrapText="1"/>
    </xf>
    <xf numFmtId="0" fontId="0" fillId="5" borderId="1" xfId="0" applyFill="1" applyBorder="1" applyAlignment="1">
      <alignment wrapText="1"/>
    </xf>
    <xf numFmtId="0" fontId="0" fillId="6" borderId="1" xfId="0" applyFill="1" applyBorder="1" applyAlignment="1">
      <alignment wrapText="1"/>
    </xf>
    <xf numFmtId="0" fontId="1" fillId="2" borderId="1" xfId="0" applyFont="1" applyFill="1" applyBorder="1" applyAlignment="1">
      <alignment wrapText="1"/>
    </xf>
    <xf numFmtId="0" fontId="0" fillId="0" borderId="0" xfId="0" applyAlignment="1">
      <alignment horizontal="center" wrapText="1"/>
    </xf>
    <xf numFmtId="0" fontId="1" fillId="2" borderId="1" xfId="0" applyFont="1" applyFill="1" applyBorder="1" applyAlignment="1">
      <alignment horizontal="center" wrapText="1"/>
    </xf>
    <xf numFmtId="0" fontId="0" fillId="2" borderId="1" xfId="0" applyFill="1" applyBorder="1" applyAlignment="1">
      <alignment horizontal="center"/>
    </xf>
    <xf numFmtId="0" fontId="1" fillId="3" borderId="1" xfId="0" applyFont="1" applyFill="1" applyBorder="1"/>
    <xf numFmtId="0" fontId="1" fillId="3" borderId="1" xfId="0" applyFont="1" applyFill="1" applyBorder="1" applyAlignment="1">
      <alignment vertical="center" wrapText="1"/>
    </xf>
    <xf numFmtId="0" fontId="0" fillId="0" borderId="0" xfId="0" applyAlignment="1">
      <alignment vertical="center" wrapText="1"/>
    </xf>
    <xf numFmtId="0" fontId="0" fillId="0" borderId="0" xfId="0" applyAlignment="1">
      <alignment wrapText="1"/>
    </xf>
    <xf numFmtId="0" fontId="0" fillId="0" borderId="1" xfId="0" applyBorder="1" applyAlignment="1">
      <alignment wrapText="1"/>
    </xf>
    <xf numFmtId="0" fontId="0" fillId="0" borderId="1" xfId="0" applyBorder="1" applyAlignment="1">
      <alignment horizontal="center" vertical="center" wrapText="1"/>
    </xf>
    <xf numFmtId="0" fontId="1" fillId="2" borderId="1" xfId="0" applyFont="1" applyFill="1" applyBorder="1"/>
    <xf numFmtId="0" fontId="1" fillId="10" borderId="1" xfId="0" applyFont="1" applyFill="1" applyBorder="1" applyAlignment="1">
      <alignment horizontal="center"/>
    </xf>
    <xf numFmtId="0" fontId="0" fillId="10" borderId="1" xfId="0" applyFill="1" applyBorder="1"/>
    <xf numFmtId="0" fontId="2" fillId="0" borderId="0" xfId="0" applyFont="1" applyAlignment="1">
      <alignment horizontal="center" vertical="center" wrapText="1"/>
    </xf>
    <xf numFmtId="0" fontId="3" fillId="0" borderId="0" xfId="0" applyFont="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0" xfId="0" applyFont="1"/>
    <xf numFmtId="0" fontId="1" fillId="0" borderId="0" xfId="0" applyFont="1" applyAlignment="1">
      <alignment horizontal="center"/>
    </xf>
    <xf numFmtId="0" fontId="1" fillId="0" borderId="1" xfId="0" applyFont="1" applyBorder="1" applyAlignment="1">
      <alignment horizontal="center"/>
    </xf>
    <xf numFmtId="0" fontId="1" fillId="0" borderId="1" xfId="0" applyFont="1" applyBorder="1" applyAlignment="1">
      <alignment wrapText="1"/>
    </xf>
    <xf numFmtId="0" fontId="1" fillId="0" borderId="0" xfId="0" applyFont="1" applyAlignment="1">
      <alignment wrapText="1"/>
    </xf>
    <xf numFmtId="0" fontId="0" fillId="0" borderId="1" xfId="0" pivotButton="1" applyBorder="1"/>
    <xf numFmtId="0" fontId="0" fillId="0" borderId="1" xfId="0" applyBorder="1" applyAlignment="1">
      <alignment horizontal="left"/>
    </xf>
    <xf numFmtId="0" fontId="1" fillId="0" borderId="6" xfId="0" applyFont="1" applyBorder="1" applyAlignment="1">
      <alignment wrapText="1"/>
    </xf>
    <xf numFmtId="0" fontId="4" fillId="0" borderId="10" xfId="0" applyFont="1" applyBorder="1" applyAlignment="1">
      <alignment vertical="center" wrapText="1"/>
    </xf>
    <xf numFmtId="0" fontId="4" fillId="0" borderId="9" xfId="0" applyFont="1" applyBorder="1" applyAlignment="1">
      <alignment vertical="center" wrapText="1"/>
    </xf>
    <xf numFmtId="0" fontId="4" fillId="0" borderId="8" xfId="0" applyFont="1" applyBorder="1" applyAlignment="1">
      <alignment vertical="center" wrapText="1"/>
    </xf>
    <xf numFmtId="0" fontId="5" fillId="0" borderId="1" xfId="0" applyFont="1" applyBorder="1" applyAlignment="1">
      <alignment vertical="center" wrapText="1"/>
    </xf>
    <xf numFmtId="0" fontId="5" fillId="0" borderId="1" xfId="0" applyFont="1" applyBorder="1" applyAlignment="1">
      <alignment vertical="center"/>
    </xf>
    <xf numFmtId="0" fontId="0" fillId="0" borderId="0" xfId="0" pivotButton="1"/>
    <xf numFmtId="0" fontId="0" fillId="0" borderId="0" xfId="0" applyAlignment="1">
      <alignment horizontal="left"/>
    </xf>
    <xf numFmtId="0" fontId="1" fillId="0" borderId="6" xfId="0" applyFont="1" applyBorder="1"/>
    <xf numFmtId="0" fontId="1" fillId="0" borderId="1" xfId="0" applyFont="1" applyBorder="1" applyAlignment="1">
      <alignment horizontal="left"/>
    </xf>
    <xf numFmtId="0" fontId="1" fillId="7" borderId="0" xfId="0" applyFont="1" applyFill="1" applyAlignment="1">
      <alignment horizontal="center"/>
    </xf>
    <xf numFmtId="0" fontId="0" fillId="0" borderId="5" xfId="0" applyBorder="1" applyAlignment="1">
      <alignment horizontal="center"/>
    </xf>
    <xf numFmtId="0" fontId="1" fillId="11" borderId="0" xfId="0" applyFont="1" applyFill="1"/>
    <xf numFmtId="0" fontId="0" fillId="11" borderId="1" xfId="0" applyFill="1" applyBorder="1"/>
    <xf numFmtId="0" fontId="0" fillId="0" borderId="2" xfId="0" applyBorder="1" applyAlignment="1">
      <alignment horizontal="left"/>
    </xf>
    <xf numFmtId="0" fontId="0" fillId="0" borderId="6" xfId="0" applyBorder="1" applyAlignment="1">
      <alignment horizontal="left"/>
    </xf>
    <xf numFmtId="0" fontId="0" fillId="0" borderId="5" xfId="0" applyBorder="1"/>
    <xf numFmtId="0" fontId="7" fillId="0" borderId="0" xfId="0" applyFont="1" applyAlignment="1">
      <alignment wrapText="1"/>
    </xf>
    <xf numFmtId="0" fontId="7" fillId="0" borderId="1" xfId="0" applyFont="1" applyBorder="1" applyAlignment="1">
      <alignment wrapText="1"/>
    </xf>
    <xf numFmtId="0" fontId="8" fillId="0" borderId="1" xfId="0" applyFont="1" applyBorder="1" applyAlignment="1">
      <alignment vertical="center" wrapText="1"/>
    </xf>
    <xf numFmtId="0" fontId="6" fillId="0" borderId="1" xfId="0" applyFont="1" applyBorder="1" applyAlignment="1">
      <alignment horizontal="center"/>
    </xf>
    <xf numFmtId="0" fontId="6" fillId="0" borderId="0" xfId="0" applyFont="1"/>
    <xf numFmtId="0" fontId="9" fillId="0" borderId="1" xfId="0" applyFont="1" applyBorder="1" applyAlignment="1">
      <alignment horizontal="center" vertical="center" wrapText="1"/>
    </xf>
    <xf numFmtId="0" fontId="0" fillId="0" borderId="1" xfId="0" applyBorder="1" applyAlignment="1">
      <alignment vertical="center"/>
    </xf>
    <xf numFmtId="0" fontId="0" fillId="0" borderId="1" xfId="0" pivotButton="1" applyBorder="1" applyAlignment="1">
      <alignment wrapText="1"/>
    </xf>
    <xf numFmtId="0" fontId="0" fillId="0" borderId="1" xfId="0" applyBorder="1" applyAlignment="1">
      <alignment horizontal="left" wrapText="1"/>
    </xf>
    <xf numFmtId="0" fontId="0" fillId="0" borderId="4" xfId="0" applyBorder="1"/>
    <xf numFmtId="0" fontId="5" fillId="12" borderId="1" xfId="0" applyFont="1" applyFill="1" applyBorder="1" applyAlignment="1">
      <alignment vertical="center" wrapText="1"/>
    </xf>
    <xf numFmtId="0" fontId="5" fillId="10" borderId="1" xfId="0" applyFont="1" applyFill="1" applyBorder="1" applyAlignment="1">
      <alignment vertical="center" wrapText="1"/>
    </xf>
    <xf numFmtId="0" fontId="10" fillId="0" borderId="6" xfId="0" applyFont="1" applyBorder="1"/>
    <xf numFmtId="0" fontId="10" fillId="0" borderId="1" xfId="0" applyFont="1" applyBorder="1"/>
    <xf numFmtId="0" fontId="11" fillId="0" borderId="4" xfId="0" applyFont="1" applyBorder="1"/>
    <xf numFmtId="0" fontId="1" fillId="0" borderId="5" xfId="0" applyFont="1" applyBorder="1" applyAlignment="1">
      <alignment horizontal="center"/>
    </xf>
    <xf numFmtId="0" fontId="5" fillId="0" borderId="3" xfId="0" applyFont="1" applyBorder="1" applyAlignment="1">
      <alignment vertical="center" wrapText="1"/>
    </xf>
    <xf numFmtId="0" fontId="1" fillId="10" borderId="0" xfId="0" applyFont="1" applyFill="1"/>
    <xf numFmtId="0" fontId="1" fillId="11" borderId="2" xfId="0" applyFont="1" applyFill="1" applyBorder="1" applyAlignment="1">
      <alignment horizontal="center"/>
    </xf>
    <xf numFmtId="0" fontId="0" fillId="0" borderId="2" xfId="0" applyBorder="1" applyAlignment="1">
      <alignment horizontal="center"/>
    </xf>
    <xf numFmtId="0" fontId="4" fillId="0" borderId="1" xfId="0" applyFont="1" applyBorder="1" applyAlignment="1">
      <alignment horizontal="center" vertical="center" wrapText="1"/>
    </xf>
    <xf numFmtId="0" fontId="12" fillId="0" borderId="1" xfId="0" applyFont="1" applyBorder="1" applyAlignment="1">
      <alignment vertical="center" wrapText="1"/>
    </xf>
    <xf numFmtId="0" fontId="12" fillId="0" borderId="1" xfId="0" applyFont="1" applyBorder="1" applyAlignment="1">
      <alignment horizontal="center" vertical="center" wrapText="1"/>
    </xf>
    <xf numFmtId="0" fontId="13" fillId="0" borderId="0" xfId="0" applyFont="1" applyAlignment="1">
      <alignment horizontal="left" vertical="center" wrapText="1" indent="1"/>
    </xf>
    <xf numFmtId="0" fontId="13" fillId="0" borderId="1" xfId="0" applyFont="1" applyBorder="1" applyAlignment="1">
      <alignment horizontal="left" vertical="center" wrapText="1" indent="1"/>
    </xf>
    <xf numFmtId="0" fontId="0" fillId="0" borderId="2" xfId="0" applyBorder="1"/>
    <xf numFmtId="0" fontId="1" fillId="13" borderId="1" xfId="0" applyFont="1" applyFill="1" applyBorder="1" applyAlignment="1">
      <alignment horizontal="center" wrapText="1"/>
    </xf>
    <xf numFmtId="0" fontId="0" fillId="0" borderId="5" xfId="0" applyBorder="1" applyAlignment="1">
      <alignment wrapText="1"/>
    </xf>
    <xf numFmtId="0" fontId="0" fillId="0" borderId="6" xfId="0" applyBorder="1" applyAlignment="1">
      <alignment wrapText="1"/>
    </xf>
    <xf numFmtId="0" fontId="1" fillId="7" borderId="1" xfId="0" applyFont="1" applyFill="1" applyBorder="1"/>
    <xf numFmtId="0" fontId="1" fillId="7" borderId="1" xfId="0" applyFont="1" applyFill="1" applyBorder="1" applyAlignment="1">
      <alignment wrapText="1"/>
    </xf>
    <xf numFmtId="0" fontId="0" fillId="0" borderId="12" xfId="0" pivotButton="1" applyBorder="1"/>
    <xf numFmtId="0" fontId="0" fillId="0" borderId="12" xfId="0" applyBorder="1"/>
    <xf numFmtId="0" fontId="0" fillId="0" borderId="12" xfId="0" applyBorder="1" applyAlignment="1">
      <alignment horizontal="center" wrapText="1"/>
    </xf>
    <xf numFmtId="0" fontId="0" fillId="0" borderId="0" xfId="0" applyAlignment="1">
      <alignment horizontal="left" wrapText="1"/>
    </xf>
    <xf numFmtId="0" fontId="0" fillId="0" borderId="12" xfId="0" applyBorder="1" applyAlignment="1">
      <alignment horizontal="left" wrapText="1"/>
    </xf>
    <xf numFmtId="0" fontId="1" fillId="11" borderId="12" xfId="0" applyFont="1" applyFill="1" applyBorder="1" applyAlignment="1">
      <alignment horizontal="center" wrapText="1"/>
    </xf>
    <xf numFmtId="0" fontId="14" fillId="0" borderId="12" xfId="0" applyFont="1" applyBorder="1" applyAlignment="1">
      <alignment wrapText="1"/>
    </xf>
    <xf numFmtId="0" fontId="0" fillId="0" borderId="13" xfId="0" applyBorder="1"/>
    <xf numFmtId="0" fontId="1" fillId="14" borderId="12" xfId="0" applyFont="1" applyFill="1" applyBorder="1"/>
    <xf numFmtId="0" fontId="1" fillId="14" borderId="12" xfId="0" applyFont="1" applyFill="1" applyBorder="1" applyAlignment="1">
      <alignment wrapText="1"/>
    </xf>
    <xf numFmtId="0" fontId="1" fillId="14" borderId="13" xfId="0" applyFont="1" applyFill="1" applyBorder="1"/>
    <xf numFmtId="0" fontId="1" fillId="10" borderId="12" xfId="0" applyFont="1" applyFill="1" applyBorder="1"/>
    <xf numFmtId="0" fontId="0" fillId="0" borderId="14" xfId="0" applyBorder="1"/>
    <xf numFmtId="0" fontId="14" fillId="0" borderId="14" xfId="0" applyFont="1" applyBorder="1" applyAlignment="1">
      <alignment wrapText="1"/>
    </xf>
    <xf numFmtId="0" fontId="0" fillId="0" borderId="15" xfId="0" applyBorder="1"/>
    <xf numFmtId="0" fontId="0" fillId="0" borderId="12" xfId="0" applyBorder="1" applyAlignment="1">
      <alignment wrapText="1"/>
    </xf>
    <xf numFmtId="0" fontId="0" fillId="13" borderId="1" xfId="0" applyFill="1" applyBorder="1" applyAlignment="1">
      <alignment wrapText="1"/>
    </xf>
    <xf numFmtId="0" fontId="0" fillId="11" borderId="12" xfId="0" applyFill="1" applyBorder="1"/>
    <xf numFmtId="0" fontId="0" fillId="0" borderId="16" xfId="0" applyBorder="1"/>
    <xf numFmtId="0" fontId="0" fillId="0" borderId="14" xfId="0" applyBorder="1" applyAlignment="1">
      <alignment horizontal="left" wrapText="1"/>
    </xf>
    <xf numFmtId="0" fontId="1" fillId="0" borderId="12" xfId="0" applyFont="1" applyBorder="1" applyAlignment="1">
      <alignment horizontal="center" wrapText="1"/>
    </xf>
    <xf numFmtId="0" fontId="1" fillId="11" borderId="12" xfId="0" applyFont="1" applyFill="1" applyBorder="1"/>
    <xf numFmtId="0" fontId="0" fillId="0" borderId="14" xfId="0" applyBorder="1" applyAlignment="1">
      <alignment wrapText="1"/>
    </xf>
    <xf numFmtId="0" fontId="0" fillId="0" borderId="14" xfId="0" applyBorder="1" applyAlignment="1">
      <alignment horizontal="center" wrapText="1"/>
    </xf>
    <xf numFmtId="0" fontId="1" fillId="0" borderId="12" xfId="0" applyFont="1" applyBorder="1" applyAlignment="1">
      <alignment wrapText="1"/>
    </xf>
    <xf numFmtId="0" fontId="1" fillId="11" borderId="0" xfId="0" applyFont="1" applyFill="1" applyAlignment="1">
      <alignment horizontal="center"/>
    </xf>
    <xf numFmtId="0" fontId="15" fillId="0" borderId="12" xfId="0" applyFont="1" applyBorder="1" applyAlignment="1">
      <alignment wrapText="1"/>
    </xf>
    <xf numFmtId="0" fontId="0" fillId="0" borderId="12" xfId="0" applyBorder="1" applyAlignment="1">
      <alignment horizontal="center"/>
    </xf>
    <xf numFmtId="0" fontId="0" fillId="0" borderId="16" xfId="0" applyBorder="1" applyAlignment="1">
      <alignment horizontal="center" wrapText="1"/>
    </xf>
    <xf numFmtId="0" fontId="15" fillId="0" borderId="14" xfId="0" applyFont="1" applyBorder="1" applyAlignment="1">
      <alignment wrapText="1"/>
    </xf>
    <xf numFmtId="0" fontId="15" fillId="0" borderId="18" xfId="0" applyFont="1" applyBorder="1"/>
    <xf numFmtId="0" fontId="1" fillId="11" borderId="12" xfId="0" applyFont="1" applyFill="1" applyBorder="1" applyAlignment="1">
      <alignment wrapText="1"/>
    </xf>
    <xf numFmtId="0" fontId="15" fillId="0" borderId="14" xfId="0" applyFont="1" applyBorder="1"/>
    <xf numFmtId="0" fontId="6" fillId="0" borderId="12" xfId="0" applyFont="1" applyBorder="1"/>
    <xf numFmtId="0" fontId="0" fillId="13" borderId="12" xfId="0" applyFill="1" applyBorder="1" applyAlignment="1">
      <alignment wrapText="1"/>
    </xf>
    <xf numFmtId="0" fontId="9" fillId="0" borderId="2" xfId="0" applyFont="1" applyBorder="1" applyAlignment="1">
      <alignment horizontal="center" vertical="center" wrapText="1"/>
    </xf>
    <xf numFmtId="0" fontId="7" fillId="0" borderId="12" xfId="0" applyFont="1" applyBorder="1" applyAlignment="1">
      <alignment wrapText="1"/>
    </xf>
    <xf numFmtId="0" fontId="1" fillId="0" borderId="2" xfId="0" applyFont="1" applyBorder="1" applyAlignment="1">
      <alignment horizontal="center"/>
    </xf>
    <xf numFmtId="0" fontId="8" fillId="0" borderId="4" xfId="0" applyFont="1" applyBorder="1" applyAlignment="1">
      <alignment vertical="center" wrapText="1"/>
    </xf>
    <xf numFmtId="0" fontId="1" fillId="11" borderId="1" xfId="0" applyFont="1" applyFill="1" applyBorder="1" applyAlignment="1">
      <alignment wrapText="1"/>
    </xf>
    <xf numFmtId="0" fontId="1" fillId="0" borderId="12" xfId="0" applyFont="1" applyBorder="1"/>
    <xf numFmtId="0" fontId="1" fillId="15" borderId="12" xfId="0" applyFont="1" applyFill="1" applyBorder="1"/>
    <xf numFmtId="0" fontId="1" fillId="15" borderId="12" xfId="0" applyFont="1" applyFill="1" applyBorder="1" applyAlignment="1">
      <alignment wrapText="1"/>
    </xf>
    <xf numFmtId="0" fontId="1" fillId="15" borderId="16" xfId="0" applyFont="1" applyFill="1" applyBorder="1" applyAlignment="1">
      <alignment wrapText="1"/>
    </xf>
    <xf numFmtId="0" fontId="0" fillId="0" borderId="16" xfId="0" applyBorder="1" applyAlignment="1">
      <alignment wrapText="1"/>
    </xf>
    <xf numFmtId="0" fontId="0" fillId="0" borderId="19" xfId="0" applyBorder="1" applyAlignment="1">
      <alignment wrapText="1"/>
    </xf>
    <xf numFmtId="0" fontId="0" fillId="0" borderId="19" xfId="0" applyBorder="1"/>
    <xf numFmtId="0" fontId="1" fillId="0" borderId="16" xfId="0" applyFont="1" applyBorder="1" applyAlignment="1">
      <alignment wrapText="1"/>
    </xf>
    <xf numFmtId="0" fontId="0" fillId="0" borderId="18" xfId="0" applyBorder="1"/>
    <xf numFmtId="0" fontId="1" fillId="15" borderId="12" xfId="0" applyFont="1" applyFill="1" applyBorder="1" applyAlignment="1">
      <alignment horizontal="center" wrapText="1"/>
    </xf>
    <xf numFmtId="0" fontId="0" fillId="0" borderId="21" xfId="0" applyBorder="1"/>
    <xf numFmtId="0" fontId="0" fillId="0" borderId="22" xfId="0" applyBorder="1"/>
    <xf numFmtId="0" fontId="14" fillId="0" borderId="23" xfId="0" applyFont="1" applyBorder="1" applyAlignment="1">
      <alignment wrapText="1"/>
    </xf>
    <xf numFmtId="0" fontId="16" fillId="0" borderId="9" xfId="0" applyFont="1" applyBorder="1" applyAlignment="1">
      <alignment wrapText="1"/>
    </xf>
    <xf numFmtId="0" fontId="0" fillId="0" borderId="21" xfId="0" applyBorder="1" applyAlignment="1">
      <alignment wrapText="1"/>
    </xf>
    <xf numFmtId="0" fontId="0" fillId="0" borderId="22" xfId="0" applyBorder="1" applyAlignment="1">
      <alignment wrapText="1"/>
    </xf>
    <xf numFmtId="0" fontId="14" fillId="0" borderId="0" xfId="0" applyFont="1" applyAlignment="1">
      <alignment wrapText="1"/>
    </xf>
    <xf numFmtId="0" fontId="16" fillId="0" borderId="0" xfId="0" applyFont="1" applyAlignment="1">
      <alignment wrapText="1"/>
    </xf>
    <xf numFmtId="0" fontId="0" fillId="5" borderId="2" xfId="0" applyFill="1" applyBorder="1" applyAlignment="1">
      <alignment horizontal="center"/>
    </xf>
    <xf numFmtId="0" fontId="0" fillId="5" borderId="3" xfId="0" applyFill="1" applyBorder="1" applyAlignment="1">
      <alignment vertical="center" wrapText="1"/>
    </xf>
    <xf numFmtId="0" fontId="1" fillId="2" borderId="1" xfId="0" applyFont="1" applyFill="1" applyBorder="1" applyAlignment="1">
      <alignment horizontal="left" vertical="center" wrapText="1"/>
    </xf>
    <xf numFmtId="0" fontId="0" fillId="4" borderId="1" xfId="0" applyFill="1" applyBorder="1" applyAlignment="1">
      <alignment horizontal="left" vertical="center" wrapText="1"/>
    </xf>
    <xf numFmtId="0" fontId="0" fillId="5" borderId="12" xfId="0" applyFill="1" applyBorder="1" applyAlignment="1">
      <alignment horizontal="left" vertical="center" wrapText="1"/>
    </xf>
    <xf numFmtId="0" fontId="0" fillId="5" borderId="12" xfId="0" applyFill="1" applyBorder="1" applyAlignment="1">
      <alignment horizontal="left" wrapText="1"/>
    </xf>
    <xf numFmtId="0" fontId="0" fillId="6" borderId="12" xfId="0" applyFill="1" applyBorder="1" applyAlignment="1">
      <alignment horizontal="left" vertical="center" wrapText="1"/>
    </xf>
    <xf numFmtId="0" fontId="0" fillId="5" borderId="12" xfId="0" applyFill="1" applyBorder="1" applyAlignment="1">
      <alignment horizontal="center"/>
    </xf>
    <xf numFmtId="0" fontId="0" fillId="5" borderId="12" xfId="0" applyFill="1" applyBorder="1" applyAlignment="1">
      <alignment vertical="center" wrapText="1"/>
    </xf>
    <xf numFmtId="0" fontId="0" fillId="5" borderId="26" xfId="0" applyFill="1" applyBorder="1" applyAlignment="1">
      <alignment horizontal="center"/>
    </xf>
    <xf numFmtId="0" fontId="0" fillId="5" borderId="14" xfId="0" applyFill="1" applyBorder="1" applyAlignment="1">
      <alignment horizontal="left" wrapText="1"/>
    </xf>
    <xf numFmtId="0" fontId="0" fillId="5" borderId="27" xfId="0" applyFill="1" applyBorder="1" applyAlignment="1">
      <alignment vertical="center" wrapText="1"/>
    </xf>
    <xf numFmtId="0" fontId="0" fillId="5" borderId="4" xfId="0" applyFill="1" applyBorder="1" applyAlignment="1">
      <alignment vertical="center" wrapText="1"/>
    </xf>
    <xf numFmtId="0" fontId="0" fillId="0" borderId="18" xfId="0" applyBorder="1" applyAlignment="1">
      <alignment wrapText="1"/>
    </xf>
    <xf numFmtId="0" fontId="0" fillId="6" borderId="12" xfId="0" applyFill="1" applyBorder="1"/>
    <xf numFmtId="0" fontId="0" fillId="6" borderId="12" xfId="0" applyFill="1" applyBorder="1" applyAlignment="1">
      <alignment horizontal="center"/>
    </xf>
    <xf numFmtId="0" fontId="0" fillId="6" borderId="12" xfId="0" applyFill="1" applyBorder="1" applyAlignment="1">
      <alignment vertical="center" wrapText="1"/>
    </xf>
    <xf numFmtId="0" fontId="0" fillId="6" borderId="2" xfId="0" applyFill="1" applyBorder="1" applyAlignment="1">
      <alignment horizontal="center"/>
    </xf>
    <xf numFmtId="0" fontId="0" fillId="0" borderId="31" xfId="0" applyBorder="1"/>
    <xf numFmtId="0" fontId="16" fillId="0" borderId="10" xfId="0" applyFont="1" applyBorder="1" applyAlignment="1">
      <alignment wrapText="1"/>
    </xf>
    <xf numFmtId="0" fontId="0" fillId="0" borderId="12" xfId="0" applyBorder="1" applyAlignment="1">
      <alignment vertical="center" wrapText="1"/>
    </xf>
    <xf numFmtId="0" fontId="14" fillId="0" borderId="32" xfId="0" applyFont="1" applyBorder="1" applyAlignment="1">
      <alignment wrapText="1"/>
    </xf>
    <xf numFmtId="0" fontId="0" fillId="0" borderId="9" xfId="0" applyBorder="1" applyAlignment="1">
      <alignment wrapText="1"/>
    </xf>
    <xf numFmtId="0" fontId="0" fillId="0" borderId="33" xfId="0" applyBorder="1" applyAlignment="1">
      <alignment wrapText="1"/>
    </xf>
    <xf numFmtId="0" fontId="0" fillId="0" borderId="9" xfId="0" applyBorder="1"/>
    <xf numFmtId="0" fontId="1" fillId="0" borderId="12" xfId="0" applyFont="1" applyBorder="1" applyAlignment="1">
      <alignment horizontal="center" vertical="center" wrapText="1"/>
    </xf>
    <xf numFmtId="0" fontId="0" fillId="0" borderId="12" xfId="0" applyBorder="1" applyAlignment="1">
      <alignment horizontal="center" vertical="center" wrapText="1"/>
    </xf>
    <xf numFmtId="0" fontId="1" fillId="0" borderId="0" xfId="0" applyFont="1" applyAlignment="1">
      <alignment vertical="center" wrapText="1"/>
    </xf>
    <xf numFmtId="0" fontId="1" fillId="0" borderId="12" xfId="0" applyFont="1" applyBorder="1" applyAlignment="1">
      <alignment vertical="center" wrapText="1"/>
    </xf>
    <xf numFmtId="0" fontId="0" fillId="0" borderId="18" xfId="0" applyBorder="1" applyAlignment="1">
      <alignment vertical="center" wrapText="1"/>
    </xf>
    <xf numFmtId="0" fontId="0" fillId="0" borderId="13" xfId="0" applyBorder="1" applyAlignment="1">
      <alignment vertical="center" wrapText="1"/>
    </xf>
    <xf numFmtId="0" fontId="0" fillId="0" borderId="16" xfId="0" applyBorder="1" applyAlignment="1">
      <alignment horizontal="center"/>
    </xf>
    <xf numFmtId="0" fontId="0" fillId="0" borderId="35" xfId="0" applyBorder="1"/>
    <xf numFmtId="0" fontId="0" fillId="0" borderId="6" xfId="0" applyBorder="1"/>
    <xf numFmtId="0" fontId="1" fillId="0" borderId="5" xfId="0" applyFont="1" applyBorder="1"/>
    <xf numFmtId="0" fontId="1" fillId="0" borderId="5" xfId="0" applyFont="1" applyBorder="1" applyAlignment="1">
      <alignment vertical="center" wrapText="1"/>
    </xf>
    <xf numFmtId="0" fontId="15" fillId="0" borderId="0" xfId="0" applyFont="1" applyAlignment="1">
      <alignment wrapText="1"/>
    </xf>
    <xf numFmtId="0" fontId="0" fillId="0" borderId="30" xfId="0" applyBorder="1" applyAlignment="1">
      <alignment wrapText="1"/>
    </xf>
    <xf numFmtId="0" fontId="1" fillId="0" borderId="14" xfId="0" applyFont="1" applyBorder="1" applyAlignment="1">
      <alignment wrapText="1"/>
    </xf>
    <xf numFmtId="0" fontId="1" fillId="0" borderId="19" xfId="0" applyFont="1" applyBorder="1" applyAlignment="1">
      <alignment wrapText="1"/>
    </xf>
    <xf numFmtId="0" fontId="0" fillId="0" borderId="17" xfId="0" applyBorder="1"/>
    <xf numFmtId="0" fontId="0" fillId="0" borderId="36" xfId="0" applyBorder="1"/>
    <xf numFmtId="0" fontId="0" fillId="0" borderId="13" xfId="0" applyBorder="1" applyAlignment="1">
      <alignment wrapText="1"/>
    </xf>
    <xf numFmtId="0" fontId="0" fillId="16" borderId="12" xfId="0" applyFill="1" applyBorder="1"/>
    <xf numFmtId="0" fontId="0" fillId="0" borderId="20" xfId="0" applyBorder="1"/>
    <xf numFmtId="0" fontId="0" fillId="0" borderId="29" xfId="0" applyBorder="1"/>
    <xf numFmtId="0" fontId="0" fillId="0" borderId="34" xfId="0" applyBorder="1"/>
    <xf numFmtId="0" fontId="1" fillId="0" borderId="14" xfId="0" applyFont="1" applyBorder="1"/>
    <xf numFmtId="0" fontId="1" fillId="0" borderId="19" xfId="0" applyFont="1" applyBorder="1"/>
    <xf numFmtId="0" fontId="0" fillId="0" borderId="0" xfId="0" pivotButton="1" applyAlignment="1">
      <alignment wrapText="1"/>
    </xf>
    <xf numFmtId="0" fontId="0" fillId="0" borderId="15" xfId="0" applyBorder="1" applyAlignment="1">
      <alignment wrapText="1"/>
    </xf>
    <xf numFmtId="0" fontId="0" fillId="0" borderId="20" xfId="0" applyBorder="1" applyAlignment="1">
      <alignment wrapText="1"/>
    </xf>
    <xf numFmtId="0" fontId="17" fillId="0" borderId="14" xfId="0" applyFont="1" applyBorder="1" applyAlignment="1">
      <alignment wrapText="1"/>
    </xf>
    <xf numFmtId="0" fontId="1" fillId="0" borderId="12" xfId="0" applyFont="1" applyBorder="1" applyAlignment="1">
      <alignment horizontal="left"/>
    </xf>
    <xf numFmtId="0" fontId="0" fillId="0" borderId="12" xfId="0" applyBorder="1" applyAlignment="1">
      <alignment horizontal="left"/>
    </xf>
    <xf numFmtId="0" fontId="0" fillId="0" borderId="19" xfId="0" applyBorder="1" applyAlignment="1">
      <alignment horizontal="left"/>
    </xf>
    <xf numFmtId="0" fontId="1" fillId="0" borderId="16" xfId="0" applyFont="1" applyBorder="1"/>
    <xf numFmtId="0" fontId="0" fillId="0" borderId="19" xfId="0" applyBorder="1" applyAlignment="1">
      <alignment horizontal="center" wrapText="1"/>
    </xf>
    <xf numFmtId="0" fontId="0" fillId="0" borderId="18" xfId="0" applyBorder="1" applyAlignment="1">
      <alignment horizontal="center" wrapText="1"/>
    </xf>
    <xf numFmtId="0" fontId="1" fillId="11" borderId="12" xfId="0" applyFont="1" applyFill="1" applyBorder="1" applyAlignment="1">
      <alignment horizontal="center"/>
    </xf>
    <xf numFmtId="0" fontId="1" fillId="14" borderId="0" xfId="0" applyFont="1" applyFill="1"/>
    <xf numFmtId="0" fontId="0" fillId="16" borderId="16" xfId="0" applyFill="1" applyBorder="1" applyAlignment="1">
      <alignment wrapText="1"/>
    </xf>
    <xf numFmtId="0" fontId="1" fillId="3" borderId="0" xfId="0" applyFont="1" applyFill="1" applyAlignment="1">
      <alignment horizontal="center"/>
    </xf>
    <xf numFmtId="0" fontId="0" fillId="4" borderId="4" xfId="0" applyFill="1" applyBorder="1" applyAlignment="1">
      <alignment horizontal="center" wrapText="1"/>
    </xf>
    <xf numFmtId="0" fontId="0" fillId="4" borderId="5" xfId="0" applyFill="1" applyBorder="1" applyAlignment="1">
      <alignment horizontal="center" wrapText="1"/>
    </xf>
    <xf numFmtId="0" fontId="0" fillId="4" borderId="6" xfId="0" applyFill="1" applyBorder="1" applyAlignment="1">
      <alignment horizontal="center" wrapText="1"/>
    </xf>
    <xf numFmtId="0" fontId="1" fillId="6" borderId="28" xfId="0" applyFont="1" applyFill="1" applyBorder="1" applyAlignment="1">
      <alignment horizontal="center"/>
    </xf>
    <xf numFmtId="0" fontId="1" fillId="6" borderId="0" xfId="0" applyFont="1" applyFill="1" applyAlignment="1">
      <alignment horizontal="center"/>
    </xf>
    <xf numFmtId="0" fontId="1" fillId="6" borderId="25" xfId="0" applyFont="1" applyFill="1" applyBorder="1" applyAlignment="1">
      <alignment horizontal="center"/>
    </xf>
    <xf numFmtId="0" fontId="1" fillId="4" borderId="2" xfId="0" applyFont="1" applyFill="1" applyBorder="1" applyAlignment="1">
      <alignment horizontal="center"/>
    </xf>
    <xf numFmtId="0" fontId="1" fillId="4" borderId="7" xfId="0" applyFont="1" applyFill="1" applyBorder="1" applyAlignment="1">
      <alignment horizontal="center"/>
    </xf>
    <xf numFmtId="0" fontId="1" fillId="4" borderId="3" xfId="0" applyFont="1" applyFill="1" applyBorder="1" applyAlignment="1">
      <alignment horizontal="center"/>
    </xf>
    <xf numFmtId="0" fontId="1" fillId="5" borderId="2" xfId="0" applyFont="1" applyFill="1" applyBorder="1" applyAlignment="1">
      <alignment horizontal="center"/>
    </xf>
    <xf numFmtId="0" fontId="1" fillId="5" borderId="24" xfId="0" applyFont="1" applyFill="1" applyBorder="1" applyAlignment="1">
      <alignment horizontal="center"/>
    </xf>
    <xf numFmtId="0" fontId="1" fillId="5" borderId="7" xfId="0" applyFont="1" applyFill="1" applyBorder="1" applyAlignment="1">
      <alignment horizontal="center"/>
    </xf>
    <xf numFmtId="0" fontId="1" fillId="5" borderId="3" xfId="0" applyFont="1" applyFill="1" applyBorder="1" applyAlignment="1">
      <alignment horizontal="center"/>
    </xf>
    <xf numFmtId="0" fontId="0" fillId="6" borderId="14" xfId="0" applyFill="1" applyBorder="1" applyAlignment="1">
      <alignment horizontal="center"/>
    </xf>
    <xf numFmtId="0" fontId="0" fillId="6" borderId="30" xfId="0" applyFill="1" applyBorder="1" applyAlignment="1">
      <alignment horizontal="center"/>
    </xf>
    <xf numFmtId="0" fontId="0" fillId="6" borderId="18" xfId="0" applyFill="1" applyBorder="1" applyAlignment="1">
      <alignment horizontal="center"/>
    </xf>
    <xf numFmtId="0" fontId="0" fillId="5" borderId="4" xfId="0" applyFill="1" applyBorder="1" applyAlignment="1">
      <alignment horizontal="center"/>
    </xf>
    <xf numFmtId="0" fontId="0" fillId="5" borderId="5" xfId="0" applyFill="1" applyBorder="1" applyAlignment="1">
      <alignment horizontal="center"/>
    </xf>
    <xf numFmtId="0" fontId="0" fillId="5" borderId="6" xfId="0" applyFill="1" applyBorder="1" applyAlignment="1">
      <alignment horizontal="center"/>
    </xf>
    <xf numFmtId="0" fontId="0" fillId="6" borderId="12" xfId="0" applyFill="1" applyBorder="1" applyAlignment="1">
      <alignment horizontal="center" wrapText="1"/>
    </xf>
    <xf numFmtId="0" fontId="0" fillId="5" borderId="24" xfId="0" applyFill="1" applyBorder="1" applyAlignment="1">
      <alignment horizontal="center" wrapText="1"/>
    </xf>
    <xf numFmtId="0" fontId="0" fillId="5" borderId="0" xfId="0" applyFill="1" applyAlignment="1">
      <alignment horizontal="center" wrapText="1"/>
    </xf>
    <xf numFmtId="0" fontId="0" fillId="5" borderId="29" xfId="0" applyFill="1" applyBorder="1" applyAlignment="1">
      <alignment horizontal="center" wrapText="1"/>
    </xf>
    <xf numFmtId="0" fontId="0" fillId="6" borderId="4" xfId="0" applyFill="1" applyBorder="1" applyAlignment="1">
      <alignment horizontal="center"/>
    </xf>
    <xf numFmtId="0" fontId="0" fillId="6" borderId="5" xfId="0" applyFill="1" applyBorder="1" applyAlignment="1">
      <alignment horizontal="center"/>
    </xf>
    <xf numFmtId="0" fontId="0" fillId="6" borderId="6" xfId="0" applyFill="1" applyBorder="1" applyAlignment="1">
      <alignment horizontal="center"/>
    </xf>
    <xf numFmtId="0" fontId="1" fillId="7" borderId="0" xfId="0" applyFont="1" applyFill="1" applyAlignment="1">
      <alignment horizontal="center"/>
    </xf>
    <xf numFmtId="0" fontId="1" fillId="6" borderId="2" xfId="0" applyFont="1" applyFill="1" applyBorder="1" applyAlignment="1">
      <alignment horizontal="center" wrapText="1"/>
    </xf>
    <xf numFmtId="0" fontId="1" fillId="6" borderId="7" xfId="0" applyFont="1" applyFill="1" applyBorder="1" applyAlignment="1">
      <alignment horizontal="center" wrapText="1"/>
    </xf>
    <xf numFmtId="0" fontId="1" fillId="6" borderId="3" xfId="0" applyFont="1" applyFill="1" applyBorder="1" applyAlignment="1">
      <alignment horizontal="center" wrapText="1"/>
    </xf>
    <xf numFmtId="0" fontId="0" fillId="4" borderId="4" xfId="0"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0" fontId="0" fillId="0" borderId="1" xfId="0" applyBorder="1" applyAlignment="1">
      <alignment horizontal="center"/>
    </xf>
    <xf numFmtId="0" fontId="0" fillId="0" borderId="0" xfId="0" applyAlignment="1">
      <alignment vertical="center" wrapText="1"/>
    </xf>
    <xf numFmtId="0" fontId="1" fillId="8" borderId="0" xfId="0" applyFont="1" applyFill="1" applyAlignment="1">
      <alignment horizontal="center"/>
    </xf>
    <xf numFmtId="0" fontId="0" fillId="5" borderId="4" xfId="0" applyFill="1" applyBorder="1" applyAlignment="1">
      <alignment horizontal="center" wrapText="1"/>
    </xf>
    <xf numFmtId="0" fontId="0" fillId="5" borderId="5" xfId="0" applyFill="1" applyBorder="1" applyAlignment="1">
      <alignment horizontal="center" wrapText="1"/>
    </xf>
    <xf numFmtId="0" fontId="0" fillId="5" borderId="6" xfId="0" applyFill="1" applyBorder="1" applyAlignment="1">
      <alignment horizontal="center" wrapText="1"/>
    </xf>
    <xf numFmtId="0" fontId="1" fillId="6" borderId="2" xfId="0" applyFont="1" applyFill="1" applyBorder="1" applyAlignment="1">
      <alignment horizontal="center"/>
    </xf>
    <xf numFmtId="0" fontId="1" fillId="6" borderId="7" xfId="0" applyFont="1" applyFill="1" applyBorder="1" applyAlignment="1">
      <alignment horizontal="center"/>
    </xf>
    <xf numFmtId="0" fontId="1" fillId="6" borderId="3" xfId="0" applyFont="1" applyFill="1" applyBorder="1" applyAlignment="1">
      <alignment horizontal="center"/>
    </xf>
    <xf numFmtId="0" fontId="0" fillId="6" borderId="4" xfId="0" applyFill="1" applyBorder="1" applyAlignment="1">
      <alignment horizontal="center" wrapText="1"/>
    </xf>
    <xf numFmtId="0" fontId="0" fillId="6" borderId="5" xfId="0" applyFill="1" applyBorder="1" applyAlignment="1">
      <alignment horizontal="center" wrapText="1"/>
    </xf>
    <xf numFmtId="0" fontId="0" fillId="6" borderId="6" xfId="0" applyFill="1" applyBorder="1" applyAlignment="1">
      <alignment horizontal="center" wrapText="1"/>
    </xf>
    <xf numFmtId="0" fontId="1" fillId="9" borderId="0" xfId="0" applyFont="1" applyFill="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2" fillId="9" borderId="0" xfId="0" applyFont="1" applyFill="1" applyAlignment="1">
      <alignment horizontal="center" wrapText="1"/>
    </xf>
    <xf numFmtId="0" fontId="0" fillId="0" borderId="0" xfId="0" applyAlignment="1">
      <alignment horizontal="center"/>
    </xf>
    <xf numFmtId="0" fontId="0" fillId="0" borderId="34" xfId="0" applyBorder="1" applyAlignment="1">
      <alignment horizontal="center"/>
    </xf>
    <xf numFmtId="0" fontId="0" fillId="0" borderId="34" xfId="0" applyBorder="1" applyAlignment="1">
      <alignment horizontal="center" wrapText="1"/>
    </xf>
    <xf numFmtId="0" fontId="0" fillId="0" borderId="14" xfId="0" applyBorder="1" applyAlignment="1">
      <alignment horizontal="center"/>
    </xf>
    <xf numFmtId="0" fontId="0" fillId="0" borderId="30" xfId="0" applyBorder="1" applyAlignment="1">
      <alignment horizontal="center"/>
    </xf>
    <xf numFmtId="0" fontId="0" fillId="0" borderId="12" xfId="0" applyBorder="1" applyAlignment="1">
      <alignment horizontal="center"/>
    </xf>
    <xf numFmtId="0" fontId="0" fillId="0" borderId="18" xfId="0" applyBorder="1" applyAlignment="1">
      <alignment horizontal="center"/>
    </xf>
    <xf numFmtId="0" fontId="1" fillId="7" borderId="11" xfId="0" applyFont="1" applyFill="1" applyBorder="1" applyAlignment="1">
      <alignment horizontal="center"/>
    </xf>
    <xf numFmtId="0" fontId="1" fillId="0" borderId="16" xfId="0" applyFont="1" applyBorder="1" applyAlignment="1">
      <alignment horizontal="center"/>
    </xf>
    <xf numFmtId="0" fontId="1" fillId="0" borderId="17" xfId="0" applyFont="1" applyBorder="1" applyAlignment="1">
      <alignment horizontal="center"/>
    </xf>
    <xf numFmtId="0" fontId="1" fillId="0" borderId="13" xfId="0" applyFont="1" applyBorder="1" applyAlignment="1">
      <alignment horizontal="center"/>
    </xf>
    <xf numFmtId="0" fontId="1" fillId="15" borderId="16" xfId="0" applyFont="1" applyFill="1" applyBorder="1" applyAlignment="1">
      <alignment horizontal="center"/>
    </xf>
    <xf numFmtId="0" fontId="1" fillId="15" borderId="17" xfId="0" applyFont="1" applyFill="1" applyBorder="1" applyAlignment="1">
      <alignment horizontal="center"/>
    </xf>
    <xf numFmtId="0" fontId="1" fillId="0" borderId="1" xfId="0" applyFont="1" applyBorder="1" applyAlignment="1">
      <alignment horizontal="center" wrapText="1"/>
    </xf>
    <xf numFmtId="0" fontId="0" fillId="0" borderId="1"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1" fillId="0" borderId="16" xfId="0" applyFont="1" applyBorder="1" applyAlignment="1">
      <alignment horizontal="center" wrapText="1"/>
    </xf>
    <xf numFmtId="0" fontId="1" fillId="0" borderId="13" xfId="0" applyFont="1" applyBorder="1" applyAlignment="1">
      <alignment horizontal="center" wrapText="1"/>
    </xf>
    <xf numFmtId="0" fontId="1" fillId="11" borderId="16" xfId="0" applyFont="1" applyFill="1" applyBorder="1" applyAlignment="1">
      <alignment horizontal="center"/>
    </xf>
    <xf numFmtId="0" fontId="1" fillId="11" borderId="17" xfId="0" applyFont="1" applyFill="1" applyBorder="1" applyAlignment="1">
      <alignment horizontal="center"/>
    </xf>
    <xf numFmtId="0" fontId="1" fillId="4" borderId="16" xfId="0" applyFont="1" applyFill="1" applyBorder="1" applyAlignment="1">
      <alignment horizontal="center"/>
    </xf>
    <xf numFmtId="0" fontId="1" fillId="4" borderId="20" xfId="0" applyFont="1" applyFill="1" applyBorder="1" applyAlignment="1">
      <alignment horizontal="center"/>
    </xf>
    <xf numFmtId="0" fontId="1" fillId="4" borderId="13" xfId="0" applyFont="1" applyFill="1" applyBorder="1" applyAlignment="1">
      <alignment horizontal="center"/>
    </xf>
    <xf numFmtId="0" fontId="0" fillId="0" borderId="0" xfId="0" applyAlignment="1">
      <alignment wrapText="1"/>
    </xf>
    <xf numFmtId="0" fontId="15" fillId="0" borderId="29" xfId="0" applyFont="1" applyBorder="1" applyAlignment="1">
      <alignment horizontal="center"/>
    </xf>
    <xf numFmtId="0" fontId="15" fillId="0" borderId="29" xfId="0" applyFont="1" applyBorder="1" applyAlignment="1">
      <alignment horizontal="center" wrapText="1"/>
    </xf>
  </cellXfs>
  <cellStyles count="1">
    <cellStyle name="Normal" xfId="0" builtinId="0"/>
  </cellStyles>
  <dxfs count="112">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alignment wrapText="1"/>
    </dxf>
    <dxf>
      <alignment wrapText="1"/>
    </dxf>
    <dxf>
      <alignment wrapText="1"/>
    </dxf>
    <dxf>
      <alignment wrapText="1"/>
    </dxf>
    <dxf>
      <alignment wrapText="1"/>
    </dxf>
    <dxf>
      <alignment wrapText="1"/>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0000"/>
        </patternFill>
      </fill>
    </dxf>
    <dxf>
      <fill>
        <patternFill patternType="solid">
          <fgColor indexed="64"/>
          <bgColor rgb="FFFF0000"/>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alignment wrapText="1"/>
    </dxf>
    <dxf>
      <alignment wrapText="1"/>
    </dxf>
    <dxf>
      <alignment horizontal="center"/>
    </dxf>
    <dxf>
      <alignment horizontal="cent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font>
        <b val="0"/>
      </font>
    </dxf>
    <dxf>
      <alignment wrapText="0"/>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pivotCacheDefinition" Target="pivotCache/pivotCacheDefinition16.xml"/><Relationship Id="rId68" Type="http://schemas.openxmlformats.org/officeDocument/2006/relationships/pivotCacheDefinition" Target="pivotCache/pivotCacheDefinition2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pivotCacheDefinition" Target="pivotCache/pivotCacheDefinition6.xml"/><Relationship Id="rId58" Type="http://schemas.openxmlformats.org/officeDocument/2006/relationships/pivotCacheDefinition" Target="pivotCache/pivotCacheDefinition11.xml"/><Relationship Id="rId74" Type="http://schemas.openxmlformats.org/officeDocument/2006/relationships/styles" Target="styles.xml"/><Relationship Id="rId79"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pivotCacheDefinition" Target="pivotCache/pivotCacheDefinition1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pivotCacheDefinition" Target="pivotCache/pivotCacheDefinition1.xml"/><Relationship Id="rId56" Type="http://schemas.openxmlformats.org/officeDocument/2006/relationships/pivotCacheDefinition" Target="pivotCache/pivotCacheDefinition9.xml"/><Relationship Id="rId64" Type="http://schemas.openxmlformats.org/officeDocument/2006/relationships/pivotCacheDefinition" Target="pivotCache/pivotCacheDefinition17.xml"/><Relationship Id="rId69" Type="http://schemas.openxmlformats.org/officeDocument/2006/relationships/pivotCacheDefinition" Target="pivotCache/pivotCacheDefinition22.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pivotCacheDefinition" Target="pivotCache/pivotCacheDefinition4.xml"/><Relationship Id="rId72" Type="http://schemas.openxmlformats.org/officeDocument/2006/relationships/theme" Target="theme/theme1.xml"/><Relationship Id="rId80"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pivotCacheDefinition" Target="pivotCache/pivotCacheDefinition12.xml"/><Relationship Id="rId67" Type="http://schemas.openxmlformats.org/officeDocument/2006/relationships/pivotCacheDefinition" Target="pivotCache/pivotCacheDefinition20.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pivotCacheDefinition" Target="pivotCache/pivotCacheDefinition7.xml"/><Relationship Id="rId62" Type="http://schemas.openxmlformats.org/officeDocument/2006/relationships/pivotCacheDefinition" Target="pivotCache/pivotCacheDefinition15.xml"/><Relationship Id="rId70" Type="http://schemas.openxmlformats.org/officeDocument/2006/relationships/pivotCacheDefinition" Target="pivotCache/pivotCacheDefinition23.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pivotCacheDefinition" Target="pivotCache/pivotCacheDefinition2.xml"/><Relationship Id="rId57" Type="http://schemas.openxmlformats.org/officeDocument/2006/relationships/pivotCacheDefinition" Target="pivotCache/pivotCacheDefinition1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pivotCacheDefinition" Target="pivotCache/pivotCacheDefinition5.xml"/><Relationship Id="rId60" Type="http://schemas.openxmlformats.org/officeDocument/2006/relationships/pivotCacheDefinition" Target="pivotCache/pivotCacheDefinition13.xml"/><Relationship Id="rId65" Type="http://schemas.openxmlformats.org/officeDocument/2006/relationships/pivotCacheDefinition" Target="pivotCache/pivotCacheDefinition18.xml"/><Relationship Id="rId73" Type="http://schemas.openxmlformats.org/officeDocument/2006/relationships/connections" Target="connections.xml"/><Relationship Id="rId78" Type="http://schemas.openxmlformats.org/officeDocument/2006/relationships/customXml" Target="../customXml/item1.xml"/><Relationship Id="rId8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pivotCacheDefinition" Target="pivotCache/pivotCacheDefinition3.xml"/><Relationship Id="rId55" Type="http://schemas.openxmlformats.org/officeDocument/2006/relationships/pivotCacheDefinition" Target="pivotCache/pivotCacheDefinition8.xml"/><Relationship Id="rId76" Type="http://schemas.openxmlformats.org/officeDocument/2006/relationships/sheetMetadata" Target="metadata.xml"/><Relationship Id="rId7" Type="http://schemas.openxmlformats.org/officeDocument/2006/relationships/worksheet" Target="worksheets/sheet7.xml"/><Relationship Id="rId71" Type="http://schemas.openxmlformats.org/officeDocument/2006/relationships/pivotCacheDefinition" Target="pivotCache/pivotCacheDefinition24.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pivotCacheDefinition" Target="pivotCache/pivotCacheDefinition1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7</xdr:row>
      <xdr:rowOff>0</xdr:rowOff>
    </xdr:from>
    <xdr:to>
      <xdr:col>16</xdr:col>
      <xdr:colOff>590549</xdr:colOff>
      <xdr:row>25</xdr:row>
      <xdr:rowOff>9525</xdr:rowOff>
    </xdr:to>
    <xdr:pic>
      <xdr:nvPicPr>
        <xdr:cNvPr id="2" name="Picture 1">
          <a:extLst>
            <a:ext uri="{FF2B5EF4-FFF2-40B4-BE49-F238E27FC236}">
              <a16:creationId xmlns:a16="http://schemas.microsoft.com/office/drawing/2014/main" id="{79D1D564-0D00-46FB-B4F7-00782FD7E735}"/>
            </a:ext>
          </a:extLst>
        </xdr:cNvPr>
        <xdr:cNvPicPr>
          <a:picLocks noChangeAspect="1"/>
        </xdr:cNvPicPr>
      </xdr:nvPicPr>
      <xdr:blipFill>
        <a:blip xmlns:r="http://schemas.openxmlformats.org/officeDocument/2006/relationships" r:embed="rId1"/>
        <a:stretch>
          <a:fillRect/>
        </a:stretch>
      </xdr:blipFill>
      <xdr:spPr>
        <a:xfrm>
          <a:off x="12820650" y="2352675"/>
          <a:ext cx="4857749" cy="4295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5</xdr:row>
      <xdr:rowOff>0</xdr:rowOff>
    </xdr:from>
    <xdr:to>
      <xdr:col>10</xdr:col>
      <xdr:colOff>247650</xdr:colOff>
      <xdr:row>26</xdr:row>
      <xdr:rowOff>113713</xdr:rowOff>
    </xdr:to>
    <xdr:pic>
      <xdr:nvPicPr>
        <xdr:cNvPr id="2" name="Picture 1">
          <a:extLst>
            <a:ext uri="{FF2B5EF4-FFF2-40B4-BE49-F238E27FC236}">
              <a16:creationId xmlns:a16="http://schemas.microsoft.com/office/drawing/2014/main" id="{69D503B6-2A00-63C7-50FC-EA0E0B37D2D6}"/>
            </a:ext>
          </a:extLst>
        </xdr:cNvPr>
        <xdr:cNvPicPr>
          <a:picLocks noChangeAspect="1"/>
        </xdr:cNvPicPr>
      </xdr:nvPicPr>
      <xdr:blipFill>
        <a:blip xmlns:r="http://schemas.openxmlformats.org/officeDocument/2006/relationships" r:embed="rId1"/>
        <a:stretch>
          <a:fillRect/>
        </a:stretch>
      </xdr:blipFill>
      <xdr:spPr>
        <a:xfrm>
          <a:off x="1828800" y="952500"/>
          <a:ext cx="4514850" cy="469523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_rels/pivotCacheDefinition16.xml.rels><?xml version="1.0" encoding="UTF-8" standalone="yes"?>
<Relationships xmlns="http://schemas.openxmlformats.org/package/2006/relationships"><Relationship Id="rId1" Type="http://schemas.openxmlformats.org/officeDocument/2006/relationships/pivotCacheRecords" Target="pivotCacheRecords16.xml"/></Relationships>
</file>

<file path=xl/pivotCache/_rels/pivotCacheDefinition17.xml.rels><?xml version="1.0" encoding="UTF-8" standalone="yes"?>
<Relationships xmlns="http://schemas.openxmlformats.org/package/2006/relationships"><Relationship Id="rId1" Type="http://schemas.openxmlformats.org/officeDocument/2006/relationships/pivotCacheRecords" Target="pivotCacheRecords17.xml"/></Relationships>
</file>

<file path=xl/pivotCache/_rels/pivotCacheDefinition18.xml.rels><?xml version="1.0" encoding="UTF-8" standalone="yes"?>
<Relationships xmlns="http://schemas.openxmlformats.org/package/2006/relationships"><Relationship Id="rId1" Type="http://schemas.openxmlformats.org/officeDocument/2006/relationships/pivotCacheRecords" Target="pivotCacheRecords18.xml"/></Relationships>
</file>

<file path=xl/pivotCache/_rels/pivotCacheDefinition19.xml.rels><?xml version="1.0" encoding="UTF-8" standalone="yes"?>
<Relationships xmlns="http://schemas.openxmlformats.org/package/2006/relationships"><Relationship Id="rId1" Type="http://schemas.openxmlformats.org/officeDocument/2006/relationships/pivotCacheRecords" Target="pivotCacheRecords19.xml"/></Relationships>
</file>

<file path=xl/pivotCache/_rels/pivotCacheDefinition20.xml.rels><?xml version="1.0" encoding="UTF-8" standalone="yes"?>
<Relationships xmlns="http://schemas.openxmlformats.org/package/2006/relationships"><Relationship Id="rId1" Type="http://schemas.openxmlformats.org/officeDocument/2006/relationships/pivotCacheRecords" Target="pivotCacheRecords20.xml"/></Relationships>
</file>

<file path=xl/pivotCache/_rels/pivotCacheDefinition21.xml.rels><?xml version="1.0" encoding="UTF-8" standalone="yes"?>
<Relationships xmlns="http://schemas.openxmlformats.org/package/2006/relationships"><Relationship Id="rId1" Type="http://schemas.openxmlformats.org/officeDocument/2006/relationships/pivotCacheRecords" Target="pivotCacheRecords21.xml"/></Relationships>
</file>

<file path=xl/pivotCache/_rels/pivotCacheDefinition22.xml.rels><?xml version="1.0" encoding="UTF-8" standalone="yes"?>
<Relationships xmlns="http://schemas.openxmlformats.org/package/2006/relationships"><Relationship Id="rId1" Type="http://schemas.openxmlformats.org/officeDocument/2006/relationships/pivotCacheRecords" Target="pivotCacheRecords22.xml"/></Relationships>
</file>

<file path=xl/pivotCache/_rels/pivotCacheDefinition23.xml.rels><?xml version="1.0" encoding="UTF-8" standalone="yes"?>
<Relationships xmlns="http://schemas.openxmlformats.org/package/2006/relationships"><Relationship Id="rId1" Type="http://schemas.openxmlformats.org/officeDocument/2006/relationships/pivotCacheRecords" Target="pivotCacheRecords23.xml"/></Relationships>
</file>

<file path=xl/pivotCache/_rels/pivotCacheDefinition24.xml.rels><?xml version="1.0" encoding="UTF-8" standalone="yes"?>
<Relationships xmlns="http://schemas.openxmlformats.org/package/2006/relationships"><Relationship Id="rId1" Type="http://schemas.openxmlformats.org/officeDocument/2006/relationships/pivotCacheRecords" Target="pivotCacheRecords2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JA BANSODE" refreshedDate="45373.70990277778" createdVersion="8" refreshedVersion="8" minRefreshableVersion="3" recordCount="50" xr:uid="{1229450D-9DE3-46D2-B273-72798AFDF4F9}">
  <cacheSource type="worksheet">
    <worksheetSource ref="B1:D51" sheet="Sheet4"/>
  </cacheSource>
  <cacheFields count="3">
    <cacheField name="SYMPTOMS:Check the appropriate box" numFmtId="0">
      <sharedItems/>
    </cacheField>
    <cacheField name="Diagnosis" numFmtId="0">
      <sharedItems containsMixedTypes="1" containsNumber="1" containsInteger="1" minValue="0" maxValue="3" count="5">
        <n v="1"/>
        <n v="2"/>
        <n v="0"/>
        <n v="3"/>
        <s v="NA"/>
      </sharedItems>
    </cacheField>
    <cacheField name="Group_Name" numFmtId="0">
      <sharedItems count="7">
        <s v="Family"/>
        <s v="SCHOOL Behaviour"/>
        <s v=" LIFE SKILLS"/>
        <s v=" SCHOOL Learning"/>
        <s v="SOCIAL ACTIVITIES"/>
        <s v=" CHILD'S SELF-CONCEPT"/>
        <s v="RISKY ACTIVITIE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JA BANSODE" refreshedDate="45462.520824768515" createdVersion="8" refreshedVersion="8" minRefreshableVersion="3" recordCount="38" xr:uid="{6F07DDDA-61A1-457B-B2FB-B99E0CC1CEBE}">
  <cacheSource type="worksheet">
    <worksheetSource ref="H2:I1048576" sheet="CEBQ"/>
  </cacheSource>
  <cacheFields count="2">
    <cacheField name="Value" numFmtId="0">
      <sharedItems containsString="0" containsBlank="1" containsNumber="1" containsInteger="1" minValue="3" maxValue="3"/>
    </cacheField>
    <cacheField name="Group" numFmtId="0">
      <sharedItems containsBlank="1" count="9">
        <s v="Enjoyment of food"/>
        <s v="Emotional overeating"/>
        <s v="Satiety responsiveness"/>
        <s v="Slowness in eating"/>
        <s v="Desire to drink"/>
        <s v="Food fussiness"/>
        <s v="Emotional undereating"/>
        <s v="Food responsiveness"/>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716.624925578704" createdVersion="8" refreshedVersion="8" minRefreshableVersion="3" recordCount="42" xr:uid="{468119FA-6F16-4B73-842A-3EB908553FBB}">
  <cacheSource type="worksheet">
    <worksheetSource ref="A1:G1048576" sheet="SCARED_Parent"/>
  </cacheSource>
  <cacheFields count="7">
    <cacheField name="Sr.No" numFmtId="0">
      <sharedItems containsString="0" containsBlank="1" containsNumber="1" containsInteger="1" minValue="1" maxValue="41"/>
    </cacheField>
    <cacheField name="Questions" numFmtId="0">
      <sharedItems containsBlank="1"/>
    </cacheField>
    <cacheField name="Not True_x000a_or Hardly_x000a_Ever True (0)" numFmtId="0">
      <sharedItems containsString="0" containsBlank="1" containsNumber="1" containsInteger="1" minValue="0" maxValue="0"/>
    </cacheField>
    <cacheField name="_x000a_Somewhat_x000a_True or_x000a_Sometimes_x000a_True (1)" numFmtId="0">
      <sharedItems containsString="0" containsBlank="1" containsNumber="1" containsInteger="1" minValue="1" maxValue="1"/>
    </cacheField>
    <cacheField name="Very True_x000a_or Often_x000a_True (2)" numFmtId="0">
      <sharedItems containsString="0" containsBlank="1" containsNumber="1" containsInteger="1" minValue="2" maxValue="2"/>
    </cacheField>
    <cacheField name="Group" numFmtId="0">
      <sharedItems containsBlank="1" count="7">
        <s v="Panic Disorder or Significant_x000a_Somatic Symptoms"/>
        <s v="School Avoidance"/>
        <s v="Social Anxiety Disorder"/>
        <s v="Separation Anxiety Disorder"/>
        <s v="Generalized Anxiety Disorder"/>
        <m/>
        <e v="#N/A" u="1"/>
      </sharedItems>
    </cacheField>
    <cacheField name="Group Total" numFmtId="0">
      <sharedItems containsString="0" containsBlank="1" containsNumber="1" containsInteger="1" minValue="0" maxValue="2"/>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723.727264814814" createdVersion="8" refreshedVersion="8" minRefreshableVersion="3" recordCount="80" xr:uid="{023ECCBD-662C-4FE2-AB09-9CFDAFD76092}">
  <cacheSource type="worksheet">
    <worksheetSource ref="A1:H1048576" sheet="ATEC"/>
  </cacheSource>
  <cacheFields count="8">
    <cacheField name="Sr.No" numFmtId="0">
      <sharedItems containsString="0" containsBlank="1" containsNumber="1" containsInteger="1" minValue="1" maxValue="77"/>
    </cacheField>
    <cacheField name="Questions" numFmtId="0">
      <sharedItems containsBlank="1"/>
    </cacheField>
    <cacheField name="Not True/Not descriptive/Not a problem(1)" numFmtId="0">
      <sharedItems containsString="0" containsBlank="1" containsNumber="1" containsInteger="1" minValue="1" maxValue="1"/>
    </cacheField>
    <cacheField name="Minor problem/Somewhat descriptive/Somewhat true (2)" numFmtId="0">
      <sharedItems containsString="0" containsBlank="1" containsNumber="1" containsInteger="1" minValue="2" maxValue="2"/>
    </cacheField>
    <cacheField name="Very true/Very descriptive/Moderate problem (3)" numFmtId="0">
      <sharedItems containsString="0" containsBlank="1" containsNumber="1" containsInteger="1" minValue="3" maxValue="3"/>
    </cacheField>
    <cacheField name="Serious problem (4)" numFmtId="0">
      <sharedItems containsString="0" containsBlank="1" containsNumber="1" containsInteger="1" minValue="4" maxValue="4"/>
    </cacheField>
    <cacheField name="Groups" numFmtId="0">
      <sharedItems containsBlank="1" count="5">
        <s v=" Speech/Language/Communication "/>
        <s v=" Sociability"/>
        <s v="Sensory/Cognitive Awareness"/>
        <s v="Health/Physical/Behavior"/>
        <m/>
      </sharedItems>
    </cacheField>
    <cacheField name="Group_Total" numFmtId="0">
      <sharedItems containsString="0" containsBlank="1" containsNumber="1" containsInteger="1" minValue="1" maxValue="4"/>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723.772193750003" createdVersion="8" refreshedVersion="8" minRefreshableVersion="3" recordCount="41" xr:uid="{383A9523-43F6-4F30-BD8F-CC9E5B3A8460}">
  <cacheSource type="worksheet">
    <worksheetSource ref="F1:G42" sheet="SCARED_Child"/>
  </cacheSource>
  <cacheFields count="2">
    <cacheField name="Group" numFmtId="0">
      <sharedItems count="6">
        <s v="Panic Disorder or Significant_x000a_Somatic Symptoms"/>
        <s v="School Avoidance"/>
        <s v="Social Anxiety Disorder"/>
        <s v="Separation Anxiety Disorder"/>
        <s v="Generalized Anxiety Disorder"/>
        <e v="#N/A" u="1"/>
      </sharedItems>
    </cacheField>
    <cacheField name="Group Total" numFmtId="0">
      <sharedItems containsSemiMixedTypes="0" containsString="0" containsNumber="1" containsInteger="1" minValue="0" maxValue="2"/>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724.114688888891" createdVersion="8" refreshedVersion="8" minRefreshableVersion="3" recordCount="25" xr:uid="{8DADC174-D7A8-4BC0-8C1C-0CB4427E6144}">
  <cacheSource type="worksheet">
    <worksheetSource ref="B5:I30" sheet="Strength(2-4 yrs)"/>
  </cacheSource>
  <cacheFields count="8">
    <cacheField name="Result(mother)" numFmtId="0">
      <sharedItems/>
    </cacheField>
    <cacheField name="Result (Father)" numFmtId="0">
      <sharedItems/>
    </cacheField>
    <cacheField name="Group" numFmtId="0">
      <sharedItems count="5">
        <s v="Prosocial scale"/>
        <s v="Hyperactivity scale"/>
        <s v="Emotional problems scale"/>
        <s v="Conduct problems Scale"/>
        <s v="Peer problems scale"/>
      </sharedItems>
    </cacheField>
    <cacheField name="Not True" numFmtId="0">
      <sharedItems containsSemiMixedTypes="0" containsString="0" containsNumber="1" containsInteger="1" minValue="0" maxValue="2"/>
    </cacheField>
    <cacheField name="SomeWhat True" numFmtId="0">
      <sharedItems containsSemiMixedTypes="0" containsString="0" containsNumber="1" containsInteger="1" minValue="1" maxValue="1"/>
    </cacheField>
    <cacheField name="Certainly True" numFmtId="0">
      <sharedItems containsSemiMixedTypes="0" containsString="0" containsNumber="1" containsInteger="1" minValue="0" maxValue="2"/>
    </cacheField>
    <cacheField name="Final Result(mother)" numFmtId="0">
      <sharedItems containsMixedTypes="1" containsNumber="1" containsInteger="1" minValue="0" maxValue="2"/>
    </cacheField>
    <cacheField name="Final Result(Father)" numFmtId="0">
      <sharedItems containsSemiMixedTypes="0" containsString="0" containsNumber="1" containsInteger="1" minValue="0" maxValue="2"/>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724.142578356485" createdVersion="8" refreshedVersion="8" minRefreshableVersion="3" recordCount="25" xr:uid="{4985704C-6413-41EE-9CDD-7D8844C8B1AD}">
  <cacheSource type="worksheet">
    <worksheetSource ref="B3:I28" sheet="Strength(4-17 yrs)"/>
  </cacheSource>
  <cacheFields count="8">
    <cacheField name="Result(Mother)" numFmtId="0">
      <sharedItems/>
    </cacheField>
    <cacheField name="Result(Father)" numFmtId="0">
      <sharedItems/>
    </cacheField>
    <cacheField name="Group" numFmtId="0">
      <sharedItems count="5">
        <s v="Prosocial scale"/>
        <s v="Hyperactivity scale"/>
        <s v="Emotional problems scale"/>
        <s v="Conduct problems Scale"/>
        <s v="Peer problems scale"/>
      </sharedItems>
    </cacheField>
    <cacheField name="Not True" numFmtId="0">
      <sharedItems containsSemiMixedTypes="0" containsString="0" containsNumber="1" containsInteger="1" minValue="0" maxValue="2"/>
    </cacheField>
    <cacheField name="SomeWhat True" numFmtId="0">
      <sharedItems containsSemiMixedTypes="0" containsString="0" containsNumber="1" containsInteger="1" minValue="1" maxValue="1"/>
    </cacheField>
    <cacheField name="Certainly True" numFmtId="0">
      <sharedItems containsSemiMixedTypes="0" containsString="0" containsNumber="1" containsInteger="1" minValue="0" maxValue="2"/>
    </cacheField>
    <cacheField name="Final Result(mother)" numFmtId="0">
      <sharedItems containsSemiMixedTypes="0" containsString="0" containsNumber="1" containsInteger="1" minValue="0" maxValue="2"/>
    </cacheField>
    <cacheField name="Final Result(Father)" numFmtId="0">
      <sharedItems containsSemiMixedTypes="0" containsString="0" containsNumber="1" containsInteger="1" minValue="0" maxValue="2"/>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725.84976597222" createdVersion="8" refreshedVersion="8" minRefreshableVersion="3" recordCount="33" xr:uid="{89D1AD44-9C55-46D4-BAF7-2F1C00AED0C6}">
  <cacheSource type="worksheet">
    <worksheetSource ref="A2:H1048576" sheet="SWBYC_9_MOnth"/>
  </cacheSource>
  <cacheFields count="8">
    <cacheField name="Questions" numFmtId="0">
      <sharedItems containsBlank="1"/>
    </cacheField>
    <cacheField name="Groups" numFmtId="0">
      <sharedItems containsBlank="1" count="10">
        <s v="DEVELOPMENTAL MILESTONES"/>
        <s v="BPSC Inflexibility"/>
        <s v="BPSC Irritability"/>
        <s v="BPSC Routines"/>
        <s v="FAMILY QUESTIONS TOBACCO"/>
        <s v="FAMILY QUESTIONS DISORDER"/>
        <s v="FAMILY QUESTIONS INSECURITY"/>
        <s v="FAMILY QUESTIONS DEPRESSION"/>
        <s v="FAMILY QUESTIONS DOMESTIC VIOLENCE"/>
        <m/>
      </sharedItems>
    </cacheField>
    <cacheField name="Not Yet/Not At All(0)/Never True/Never at all/No tension/No difficulty/No" numFmtId="0">
      <sharedItems containsString="0" containsBlank="1" containsNumber="1" containsInteger="1" minValue="0" maxValue="0"/>
    </cacheField>
    <cacheField name="Somewhat(1)/Sometime True/Several days/Some tension/Some difficulty/Yes" numFmtId="0">
      <sharedItems containsString="0" containsBlank="1" containsNumber="1" containsInteger="1" minValue="1" maxValue="1"/>
    </cacheField>
    <cacheField name="Very Much(2)/Often True/More than half the days/A lot of tension/Great difficulty" numFmtId="0">
      <sharedItems containsString="0" containsBlank="1" containsNumber="1" containsInteger="1" minValue="2" maxValue="2"/>
    </cacheField>
    <cacheField name="Nearly every day(3)" numFmtId="0">
      <sharedItems containsString="0" containsBlank="1" containsNumber="1" containsInteger="1" minValue="3" maxValue="3"/>
    </cacheField>
    <cacheField name="NA" numFmtId="0">
      <sharedItems containsNonDate="0" containsString="0" containsBlank="1"/>
    </cacheField>
    <cacheField name="Sum" numFmtId="0">
      <sharedItems containsString="0" containsBlank="1" containsNumber="1" containsInteger="1" minValue="0" maxValue="3"/>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725.918086689817" createdVersion="8" refreshedVersion="8" minRefreshableVersion="3" recordCount="46" xr:uid="{11A13404-831A-4D6D-B7A5-2B4DB0270553}">
  <cacheSource type="worksheet">
    <worksheetSource ref="A2:H1048576" sheet="SWYC_18_Month"/>
  </cacheSource>
  <cacheFields count="8">
    <cacheField name="Questions" numFmtId="0">
      <sharedItems containsBlank="1"/>
    </cacheField>
    <cacheField name="Groups" numFmtId="0">
      <sharedItems containsBlank="1" count="9">
        <s v="DEVELOPMENTAL MILESTONES"/>
        <s v="PPSC"/>
        <s v="POSI"/>
        <s v="FAMILY QUESTIONS TOBACCO"/>
        <s v="FAMILY QUESTIONS DISORDER"/>
        <s v="FAMILY QUESTIONS INSECURITY"/>
        <s v="FAMILY QUESTIONS DEPRESSION"/>
        <s v="FAMILY QUESTIONS DOMESTIC VIOLENCE"/>
        <m/>
      </sharedItems>
    </cacheField>
    <cacheField name="Not Yet/Not At All(0)/Never True/Never at all/No tension/No difficulty/No/“Many times a day” and &quot;A few times a day&quot;/ _x000a_&quot;Always&quot; and “usually”" numFmtId="0">
      <sharedItems containsString="0" containsBlank="1" containsNumber="1" containsInteger="1" minValue="0" maxValue="0"/>
    </cacheField>
    <cacheField name="Somewhat(1)/Sometime True/Several days/Some tension/Some difficulty/Yes/&quot;a_few_times_a_week&quot;, &quot;Less than once a week&quot;, &quot;Never&quot;/&quot;Sometimes&quot;, &quot;Rarely&quot;, &quot;Never&quot;" numFmtId="0">
      <sharedItems containsString="0" containsBlank="1" containsNumber="1" containsInteger="1" minValue="1" maxValue="1"/>
    </cacheField>
    <cacheField name="Very Much(2)/Often True/More than half the days/A lot of tension/Great difficulty" numFmtId="0">
      <sharedItems containsString="0" containsBlank="1" containsNumber="1" containsInteger="1" minValue="2" maxValue="2"/>
    </cacheField>
    <cacheField name="Nearly every day(3)" numFmtId="0">
      <sharedItems containsNonDate="0" containsString="0" containsBlank="1"/>
    </cacheField>
    <cacheField name="NA" numFmtId="0">
      <sharedItems containsNonDate="0" containsString="0" containsBlank="1"/>
    </cacheField>
    <cacheField name="Sum" numFmtId="0">
      <sharedItems containsString="0" containsBlank="1" containsNumber="1" containsInteger="1" minValue="0" maxValue="2"/>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725.995000000003" createdVersion="8" refreshedVersion="8" minRefreshableVersion="3" recordCount="44" xr:uid="{BC397996-8E63-4518-8E30-10F6095AF63E}">
  <cacheSource type="worksheet">
    <worksheetSource ref="A2:H1048576" sheet="SWYC_24_Month"/>
  </cacheSource>
  <cacheFields count="8">
    <cacheField name="Questions" numFmtId="0">
      <sharedItems containsBlank="1"/>
    </cacheField>
    <cacheField name="Groups" numFmtId="0">
      <sharedItems containsBlank="1" count="9">
        <s v="DEVELOPMENTAL MILESTONES"/>
        <s v="PPSC"/>
        <s v="POSI"/>
        <s v="FAMILY QUESTIONS TOBACCO"/>
        <s v="FAMILY QUESTIONS DISORDER"/>
        <s v="FAMILY QUESTIONS INSECURITY"/>
        <s v="FAMILY QUESTIONS DEPRESSION"/>
        <s v="FAMILY QUESTIONS DOMESTIC VIOLENCE"/>
        <m/>
      </sharedItems>
    </cacheField>
    <cacheField name="Not Yet/Not At All(0)/Never True/Never at all/No tension/No difficulty/No/“Many times a day” and &quot;A few times a day&quot;/ _x000a_&quot;Always&quot; and “usually”" numFmtId="0">
      <sharedItems containsString="0" containsBlank="1" containsNumber="1" containsInteger="1" minValue="0" maxValue="0"/>
    </cacheField>
    <cacheField name="Somewhat(1)/Sometime True/Several days/Some tension/Some difficulty/Yes/&quot;a_few_times_a_week&quot;, &quot;Less than once a week&quot;, &quot;Never&quot;/&quot;Sometimes&quot;, &quot;Rarely&quot;, &quot;Never&quot;" numFmtId="0">
      <sharedItems containsString="0" containsBlank="1" containsNumber="1" containsInteger="1" minValue="1" maxValue="1"/>
    </cacheField>
    <cacheField name="Very Much(2)/Often True/More than half the days/A lot of tension/Great difficulty" numFmtId="0">
      <sharedItems containsString="0" containsBlank="1" containsNumber="1" containsInteger="1" minValue="2" maxValue="2"/>
    </cacheField>
    <cacheField name="Nearly every day(3)" numFmtId="0">
      <sharedItems containsNonDate="0" containsString="0" containsBlank="1"/>
    </cacheField>
    <cacheField name="NA" numFmtId="0">
      <sharedItems containsBlank="1"/>
    </cacheField>
    <cacheField name="Sum" numFmtId="0">
      <sharedItems containsString="0" containsBlank="1" containsNumber="1" containsInteger="1" minValue="0" maxValue="2"/>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726.007507638889" createdVersion="8" refreshedVersion="8" minRefreshableVersion="3" recordCount="44" xr:uid="{CB139C0D-77EC-4F8E-948E-9A52F2E15536}">
  <cacheSource type="worksheet">
    <worksheetSource ref="A2:H1048576" sheet="SWYC_30-Month"/>
  </cacheSource>
  <cacheFields count="8">
    <cacheField name="Questions" numFmtId="0">
      <sharedItems containsBlank="1"/>
    </cacheField>
    <cacheField name="Groups" numFmtId="0">
      <sharedItems containsBlank="1" count="9">
        <s v="DEVELOPMENTAL MILESTONES"/>
        <s v="PPSC"/>
        <s v="POSI"/>
        <s v="FAMILY QUESTIONS TOBACCO"/>
        <s v="FAMILY QUESTIONS DISORDER"/>
        <s v="FAMILY QUESTIONS INSECURITY"/>
        <s v="FAMILY QUESTIONS DEPRESSION"/>
        <s v="FAMILY QUESTIONS DOMESTIC VIOLENCE"/>
        <m/>
      </sharedItems>
    </cacheField>
    <cacheField name="Not Yet/Not At All(0)/Never True/Never at all/No tension/No difficulty/No/“Many times a day” and &quot;A few times a day&quot;/ _x000a_&quot;Always&quot; and “usually”" numFmtId="0">
      <sharedItems containsString="0" containsBlank="1" containsNumber="1" containsInteger="1" minValue="0" maxValue="0"/>
    </cacheField>
    <cacheField name="Somewhat(1)/Sometime True/Several days/Some tension/Some difficulty/Yes/&quot;a_few_times_a_week&quot;, &quot;Less than once a week&quot;, &quot;Never&quot;/&quot;Sometimes&quot;, &quot;Rarely&quot;, &quot;Never&quot;" numFmtId="0">
      <sharedItems containsString="0" containsBlank="1" containsNumber="1" containsInteger="1" minValue="1" maxValue="1"/>
    </cacheField>
    <cacheField name="Very Much(2)/Often True/More than half the days/A lot of tension/Great difficulty" numFmtId="0">
      <sharedItems containsString="0" containsBlank="1" containsNumber="1" containsInteger="1" minValue="2" maxValue="2"/>
    </cacheField>
    <cacheField name="Nearly every day(3)" numFmtId="0">
      <sharedItems containsNonDate="0" containsString="0" containsBlank="1"/>
    </cacheField>
    <cacheField name="NA" numFmtId="0">
      <sharedItems containsNonDate="0" containsString="0" containsBlank="1"/>
    </cacheField>
    <cacheField name="Sum" numFmtId="0">
      <sharedItems containsString="0" containsBlank="1" containsNumber="1" containsInteger="1" minValue="0" maxValue="2"/>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726.01879652778" createdVersion="8" refreshedVersion="8" minRefreshableVersion="3" recordCount="43" xr:uid="{BF0355D4-2E2E-45DF-92AA-AD14EBD45E15}">
  <cacheSource type="worksheet">
    <worksheetSource ref="A2:H1048576" sheet="SWYC_36_Month"/>
  </cacheSource>
  <cacheFields count="8">
    <cacheField name="Questions" numFmtId="0">
      <sharedItems containsBlank="1"/>
    </cacheField>
    <cacheField name="Groups" numFmtId="0">
      <sharedItems containsBlank="1" count="8">
        <s v="DEVELOPMENTAL MILESTONES"/>
        <s v="PPSC"/>
        <s v="FAMILY QUESTIONS TOBACCO"/>
        <s v="FAMILY QUESTIONS DISORDER"/>
        <s v="FAMILY QUESTIONS INSECURITY"/>
        <s v="FAMILY QUESTIONS DEPRESSION"/>
        <s v="FAMILY QUESTIONS DOMESTIC VIOLENCE"/>
        <m/>
      </sharedItems>
    </cacheField>
    <cacheField name="Not Yet/Not At All(0)/Never True/Never at all/No tension/No difficulty/No/“Many times a day” and &quot;A few times a day&quot;/ _x000a_&quot;Always&quot; and “usually”" numFmtId="0">
      <sharedItems containsString="0" containsBlank="1" containsNumber="1" containsInteger="1" minValue="0" maxValue="0"/>
    </cacheField>
    <cacheField name="Somewhat(1)/Sometime True/Several days/Some tension/Some difficulty/Yes/&quot;a_few_times_a_week&quot;, &quot;Less than once a week&quot;, &quot;Never&quot;/&quot;Sometimes&quot;, &quot;Rarely&quot;, &quot;Never&quot;" numFmtId="0">
      <sharedItems containsString="0" containsBlank="1" containsNumber="1" containsInteger="1" minValue="1" maxValue="1"/>
    </cacheField>
    <cacheField name="Very Much(2)/Often True/More than half the days/A lot of tension/Great difficulty" numFmtId="0">
      <sharedItems containsString="0" containsBlank="1" containsNumber="1" containsInteger="1" minValue="2" maxValue="2"/>
    </cacheField>
    <cacheField name="Nearly every day(3)" numFmtId="0">
      <sharedItems containsNonDate="0" containsString="0" containsBlank="1"/>
    </cacheField>
    <cacheField name="NA" numFmtId="0">
      <sharedItems containsNonDate="0" containsString="0" containsBlank="1"/>
    </cacheField>
    <cacheField name="Sum" numFmtId="0">
      <sharedItems containsString="0" containsBlank="1" containsNumber="1" containsInteger="1" minValue="0" maxValue="2"/>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726.035223611114" createdVersion="8" refreshedVersion="8" minRefreshableVersion="3" recordCount="43" xr:uid="{86C93548-FFA8-4302-B701-CA1FB0D565D0}">
  <cacheSource type="worksheet">
    <worksheetSource ref="A2:H1048576" sheet="SWYC_48_mONTH"/>
  </cacheSource>
  <cacheFields count="8">
    <cacheField name="Questions" numFmtId="0">
      <sharedItems containsBlank="1"/>
    </cacheField>
    <cacheField name="Groups" numFmtId="0">
      <sharedItems containsBlank="1" count="8">
        <s v="DEVELOPMENTAL MILESTONES"/>
        <s v="PPSC"/>
        <s v="FAMILY QUESTIONS TOBACCO"/>
        <s v="FAMILY QUESTIONS DISORDER"/>
        <s v="FAMILY QUESTIONS INSECURITY"/>
        <s v="FAMILY QUESTIONS DEPRESSION"/>
        <s v="FAMILY QUESTIONS DOMESTIC VIOLENCE"/>
        <m/>
      </sharedItems>
    </cacheField>
    <cacheField name="Not Yet/Not At All(0)/Never True/Never at all/No tension/No difficulty/No/“Many times a day” and &quot;A few times a day&quot;/ _x000a_&quot;Always&quot; and “usually”" numFmtId="0">
      <sharedItems containsString="0" containsBlank="1" containsNumber="1" containsInteger="1" minValue="0" maxValue="0"/>
    </cacheField>
    <cacheField name="Somewhat(1)/Sometime True/Several days/Some tension/Some difficulty/Yes/&quot;a_few_times_a_week&quot;, &quot;Less than once a week&quot;, &quot;Never&quot;/&quot;Sometimes&quot;, &quot;Rarely&quot;, &quot;Never&quot;" numFmtId="0">
      <sharedItems containsString="0" containsBlank="1" containsNumber="1" containsInteger="1" minValue="1" maxValue="1"/>
    </cacheField>
    <cacheField name="Very Much(2)/Often True/More than half the days/A lot of tension/Great difficulty" numFmtId="0">
      <sharedItems containsString="0" containsBlank="1" containsNumber="1" containsInteger="1" minValue="2" maxValue="2"/>
    </cacheField>
    <cacheField name="Nearly every day(3)" numFmtId="0">
      <sharedItems containsNonDate="0" containsString="0" containsBlank="1"/>
    </cacheField>
    <cacheField name="NA" numFmtId="0">
      <sharedItems containsNonDate="0" containsString="0" containsBlank="1"/>
    </cacheField>
    <cacheField name="Sum" numFmtId="0">
      <sharedItems containsString="0" containsBlank="1" containsNumber="1" containsInteger="1" minValue="0" maxValue="2"/>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726.037009837964" createdVersion="8" refreshedVersion="8" minRefreshableVersion="3" recordCount="43" xr:uid="{7B0879F7-F6E5-4FCC-9AE1-07CFB725B2F3}">
  <cacheSource type="worksheet">
    <worksheetSource ref="A2:H1048576" sheet="SWYC_60_mONTH "/>
  </cacheSource>
  <cacheFields count="8">
    <cacheField name="Questions" numFmtId="0">
      <sharedItems containsBlank="1"/>
    </cacheField>
    <cacheField name="Groups" numFmtId="0">
      <sharedItems containsBlank="1" count="8">
        <s v="DEVELOPMENTAL MILESTONES"/>
        <s v="PPSC"/>
        <s v="FAMILY QUESTIONS TOBACCO"/>
        <s v="FAMILY QUESTIONS DISORDER"/>
        <s v="FAMILY QUESTIONS INSECURITY"/>
        <s v="FAMILY QUESTIONS DEPRESSION"/>
        <s v="FAMILY QUESTIONS DOMESTIC VIOLENCE"/>
        <m/>
      </sharedItems>
    </cacheField>
    <cacheField name="Not Yet/Not At All(0)/Never True/Never at all/No tension/No difficulty/No/“Many times a day” and &quot;A few times a day&quot;/ _x000a_&quot;Always&quot; and “usually”" numFmtId="0">
      <sharedItems containsString="0" containsBlank="1" containsNumber="1" containsInteger="1" minValue="0" maxValue="0"/>
    </cacheField>
    <cacheField name="Somewhat(1)/Sometime True/Several days/Some tension/Some difficulty/Yes/&quot;a_few_times_a_week&quot;, &quot;Less than once a week&quot;, &quot;Never&quot;/&quot;Sometimes&quot;, &quot;Rarely&quot;, &quot;Never&quot;" numFmtId="0">
      <sharedItems containsString="0" containsBlank="1" containsNumber="1" containsInteger="1" minValue="1" maxValue="1"/>
    </cacheField>
    <cacheField name="Very Much(2)/Often True/More than half the days/A lot of tension/Great difficulty" numFmtId="0">
      <sharedItems containsString="0" containsBlank="1" containsNumber="1" containsInteger="1" minValue="2" maxValue="2"/>
    </cacheField>
    <cacheField name="Nearly every day(3)" numFmtId="0">
      <sharedItems containsNonDate="0" containsString="0" containsBlank="1"/>
    </cacheField>
    <cacheField name="NA" numFmtId="0">
      <sharedItems containsNonDate="0" containsString="0" containsBlank="1"/>
    </cacheField>
    <cacheField name="Sum" numFmtId="0">
      <sharedItems containsString="0" containsBlank="1" containsNumber="1" containsInteger="1" minValue="0" maxValue="2"/>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798.417576157408" createdVersion="8" refreshedVersion="8" minRefreshableVersion="3" recordCount="83" xr:uid="{8A79D057-5E31-4E65-B8B3-54BDC9BBEB47}">
  <cacheSource type="worksheet">
    <worksheetSource ref="A1:H1048576" sheet="Weiss_final"/>
  </cacheSource>
  <cacheFields count="8">
    <cacheField name="SYMPTOMS:Check the appropriate box" numFmtId="0">
      <sharedItems containsBlank="1"/>
    </cacheField>
    <cacheField name="Never or not at all   (0)" numFmtId="0">
      <sharedItems containsString="0" containsBlank="1" containsNumber="1" containsInteger="1" minValue="0" maxValue="0"/>
    </cacheField>
    <cacheField name="Sometimes or somewhat  (1)" numFmtId="0">
      <sharedItems containsString="0" containsBlank="1" containsNumber="1" containsInteger="1" minValue="1" maxValue="1"/>
    </cacheField>
    <cacheField name="Often or much  (2)" numFmtId="0">
      <sharedItems containsString="0" containsBlank="1" containsNumber="1" containsInteger="1" minValue="2" maxValue="2"/>
    </cacheField>
    <cacheField name="Very often or very much (3)" numFmtId="0">
      <sharedItems containsString="0" containsBlank="1" containsNumber="1" containsInteger="1" minValue="3" maxValue="3"/>
    </cacheField>
    <cacheField name="N/A" numFmtId="0">
      <sharedItems containsBlank="1"/>
    </cacheField>
    <cacheField name="Group_Name" numFmtId="0">
      <sharedItems containsBlank="1" count="8">
        <m/>
        <s v="Family"/>
        <s v=" SCHOOL Learning"/>
        <s v="SCHOOL Behaviour"/>
        <s v=" LIFE SKILLS"/>
        <s v=" CHILD'S SELF-CONCEPT"/>
        <s v="SOCIAL ACTIVITIES"/>
        <s v="RISKY ACTIVITIES"/>
      </sharedItems>
    </cacheField>
    <cacheField name="Value" numFmtId="0">
      <sharedItems containsString="0" containsBlank="1"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13.854922453706" createdVersion="8" refreshedVersion="8" minRefreshableVersion="3" recordCount="58" xr:uid="{9C6A5AA6-2B63-40B0-9EA5-54EB52D79EFB}">
  <cacheSource type="worksheet">
    <worksheetSource ref="M1:N1048576" sheet="Vanderbilt_assessment"/>
  </cacheSource>
  <cacheFields count="2">
    <cacheField name="Group" numFmtId="0">
      <sharedItems containsBlank="1" count="8">
        <s v="Inattentive"/>
        <s v="hyperactive/Impulsive"/>
        <s v="oppositional defiant disorder"/>
        <s v="conduct Disorder"/>
        <s v="anxiety/depression"/>
        <s v="Performance"/>
        <s v="ADHD_Combined"/>
        <m/>
      </sharedItems>
    </cacheField>
    <cacheField name="Result_Count" numFmtId="0">
      <sharedItems containsString="0" containsBlank="1" containsNumber="1" containsInteger="1" minValue="3" maxValue="18"/>
    </cacheField>
  </cacheFields>
  <extLst>
    <ext xmlns:x14="http://schemas.microsoft.com/office/spreadsheetml/2009/9/main" uri="{725AE2AE-9491-48be-B2B4-4EB974FC3084}">
      <x14:pivotCacheDefinition/>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28.673370949073" createdVersion="8" refreshedVersion="8" minRefreshableVersion="3" recordCount="48" xr:uid="{F40B023F-E04E-4CF3-9417-76C794C64CE4}">
  <cacheSource type="worksheet">
    <worksheetSource ref="G1:I1048576" sheet="RCADs (2)"/>
  </cacheSource>
  <cacheFields count="3">
    <cacheField name="Group" numFmtId="0">
      <sharedItems containsBlank="1" count="7">
        <s v="Generalized Anxiety"/>
        <s v="Major Depression"/>
        <s v="Panic Disorder"/>
        <s v="Social Phobia"/>
        <s v="Separation Anxiety"/>
        <s v="Obsessive-Compulsive"/>
        <m/>
      </sharedItems>
    </cacheField>
    <cacheField name="Group_1" numFmtId="0">
      <sharedItems containsBlank="1" count="7">
        <s v="Anxious generally"/>
        <s v="Low mood"/>
        <s v="Panic"/>
        <s v="Anxious in social situations"/>
        <s v="Anxious away from home"/>
        <s v="Compelled to do or think things"/>
        <m/>
      </sharedItems>
    </cacheField>
    <cacheField name="Value" numFmtId="0">
      <sharedItems containsString="0" containsBlank="1" containsNumber="1" containsInteger="1" minValue="0" maxValue="3"/>
    </cacheField>
  </cacheFields>
  <extLst>
    <ext xmlns:x14="http://schemas.microsoft.com/office/spreadsheetml/2009/9/main" uri="{725AE2AE-9491-48be-B2B4-4EB974FC3084}">
      <x14:pivotCacheDefinition/>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28.683512615738" createdVersion="8" refreshedVersion="8" minRefreshableVersion="3" recordCount="48" xr:uid="{9308A2A4-759A-4687-856F-FDBCBC757958}">
  <cacheSource type="worksheet">
    <worksheetSource ref="G1:J1048576" sheet="RCADs"/>
  </cacheSource>
  <cacheFields count="4">
    <cacheField name="Group" numFmtId="0">
      <sharedItems containsBlank="1" count="7">
        <s v="Generalized Anxiety"/>
        <s v="Major Depression"/>
        <s v="Panic Disorder"/>
        <s v="Social Phobia"/>
        <s v="Separation Anxiety"/>
        <s v="Obsessive-Compulsive"/>
        <m/>
      </sharedItems>
    </cacheField>
    <cacheField name="Group_1" numFmtId="0">
      <sharedItems containsBlank="1"/>
    </cacheField>
    <cacheField name="Value" numFmtId="0">
      <sharedItems containsString="0" containsBlank="1" containsNumber="1" containsInteger="1" minValue="0" maxValue="3"/>
    </cacheField>
    <cacheField name="Value 2" numFmtId="0">
      <sharedItems containsString="0" containsBlank="1" containsNumber="1" containsInteger="1" minValue="0" maxValue="3"/>
    </cacheField>
  </cacheFields>
  <extLst>
    <ext xmlns:x14="http://schemas.microsoft.com/office/spreadsheetml/2009/9/main" uri="{725AE2AE-9491-48be-B2B4-4EB974FC3084}">
      <x14:pivotCacheDefinition/>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31.514014236112" createdVersion="8" refreshedVersion="8" minRefreshableVersion="3" recordCount="48" xr:uid="{CBC3699F-1EEA-4CF0-ACA9-B8769F0F8B59}">
  <cacheSource type="worksheet">
    <worksheetSource ref="G1:I1048576" sheet="RCADs"/>
  </cacheSource>
  <cacheFields count="3">
    <cacheField name="Group" numFmtId="0">
      <sharedItems containsBlank="1" count="7">
        <s v="Generalized Anxiety"/>
        <s v="Major Depression"/>
        <s v="Panic Disorder"/>
        <s v="Social Phobia"/>
        <s v="Separation Anxiety"/>
        <s v="Obsessive-Compulsive"/>
        <m/>
      </sharedItems>
    </cacheField>
    <cacheField name="Group_1" numFmtId="0">
      <sharedItems containsBlank="1"/>
    </cacheField>
    <cacheField name="Value" numFmtId="0">
      <sharedItems containsString="0" containsBlank="1" containsNumber="1" containsInteger="1" minValue="0" maxValue="3"/>
    </cacheField>
  </cacheFields>
  <extLst>
    <ext xmlns:x14="http://schemas.microsoft.com/office/spreadsheetml/2009/9/main" uri="{725AE2AE-9491-48be-B2B4-4EB974FC3084}">
      <x14:pivotCacheDefinition/>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31.812182870373" createdVersion="8" refreshedVersion="8" minRefreshableVersion="3" recordCount="169" xr:uid="{34043F49-8DDC-4C05-97C8-909F9D22C50B}">
  <cacheSource type="worksheet">
    <worksheetSource ref="A2:H1048576" sheet="SWBYC_2_Month"/>
  </cacheSource>
  <cacheFields count="8">
    <cacheField name="Questions" numFmtId="0">
      <sharedItems containsBlank="1"/>
    </cacheField>
    <cacheField name="Groups" numFmtId="0">
      <sharedItems containsBlank="1" count="11">
        <s v="DEVELOPMENTAL MILESTONES"/>
        <s v="BPSC Inflexibility"/>
        <s v="BPSC Irritability"/>
        <s v="BPSC Routines"/>
        <s v="FAMILY QUESTIONS TOBACCO(Yes/NO)"/>
        <s v="FAMILY QUESTIONS DISORDER"/>
        <s v="FAMILY QUESTIONS INSECURITY"/>
        <s v="FAMILY QUESTIONS DEPRESSION"/>
        <s v="FAMILY QUESTIONS DOMESTIC VIOLENCE"/>
        <m/>
        <s v="PARENT CONCERNS" u="1"/>
      </sharedItems>
    </cacheField>
    <cacheField name="Not Yet/Not At All(0)/Never True/Never at all/No tension/No difficulty/No" numFmtId="0">
      <sharedItems containsBlank="1" containsMixedTypes="1" containsNumber="1" containsInteger="1" minValue="0" maxValue="0" count="3">
        <n v="0"/>
        <m/>
        <s v="Yes"/>
      </sharedItems>
    </cacheField>
    <cacheField name="Somewhat(1)/Sometime True/Several days/Some tension/Some difficulty/Yes" numFmtId="0">
      <sharedItems containsString="0" containsBlank="1" containsNumber="1" containsInteger="1" minValue="1" maxValue="1" count="2">
        <m/>
        <n v="1"/>
      </sharedItems>
    </cacheField>
    <cacheField name="Very Much(2)/Often True/More than half the days/A lot of tension/Great difficulty" numFmtId="0">
      <sharedItems containsString="0" containsBlank="1" containsNumber="1" containsInteger="1" minValue="2" maxValue="2" count="2">
        <m/>
        <n v="2"/>
      </sharedItems>
    </cacheField>
    <cacheField name="Nearly every day(3)" numFmtId="0">
      <sharedItems containsNonDate="0" containsString="0" containsBlank="1" count="1">
        <m/>
      </sharedItems>
    </cacheField>
    <cacheField name="NA" numFmtId="0">
      <sharedItems containsNonDate="0" containsString="0" containsBlank="1" count="1">
        <m/>
      </sharedItems>
    </cacheField>
    <cacheField name="Sum" numFmtId="0">
      <sharedItems containsString="0" containsBlank="1" containsNumber="1" containsInteger="1" minValue="0" maxValue="2" count="4">
        <n v="0"/>
        <n v="1"/>
        <n v="2"/>
        <m/>
      </sharedItems>
    </cacheField>
  </cacheFields>
  <extLst>
    <ext xmlns:x14="http://schemas.microsoft.com/office/spreadsheetml/2009/9/main" uri="{725AE2AE-9491-48be-B2B4-4EB974FC3084}">
      <x14:pivotCacheDefinition/>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31.820509375" createdVersion="8" refreshedVersion="8" minRefreshableVersion="3" recordCount="32" xr:uid="{9E1AED39-7E12-41D8-8D5E-81F1C26B8ABE}">
  <cacheSource type="worksheet">
    <worksheetSource ref="A2:H1048576" sheet="SWBYC_4_Month"/>
  </cacheSource>
  <cacheFields count="8">
    <cacheField name="Questions" numFmtId="0">
      <sharedItems containsBlank="1"/>
    </cacheField>
    <cacheField name="Groups" numFmtId="0">
      <sharedItems containsBlank="1" count="10">
        <s v="DEVELOPMENTAL MILESTONES"/>
        <s v="BPSC Inflexibility"/>
        <s v="BPSC Irritability"/>
        <s v="BPSC Routines"/>
        <s v="FAMILY QUESTIONS TOBACCO"/>
        <s v="FAMILY QUESTIONS DISORDER"/>
        <s v="FAMILY QUESTIONS INSECURITY"/>
        <s v="FAMILY QUESTIONS DEPRESSION"/>
        <s v="FAMILY QUESTIONS DOMESTIC VIOLENCE"/>
        <m/>
      </sharedItems>
    </cacheField>
    <cacheField name="Not Yet/Not At All(0)/Never True/Never at all/No tension/No difficulty/No" numFmtId="0">
      <sharedItems containsString="0" containsBlank="1" containsNumber="1" containsInteger="1" minValue="0" maxValue="0"/>
    </cacheField>
    <cacheField name="Somewhat(1)/Sometime True/Several days/Some tension/Some difficulty/Yes" numFmtId="0">
      <sharedItems containsString="0" containsBlank="1" containsNumber="1" containsInteger="1" minValue="1" maxValue="1"/>
    </cacheField>
    <cacheField name="Very Much(2)/Often True/More than half the days/A lot of tension/Great difficulty" numFmtId="0">
      <sharedItems containsNonDate="0" containsString="0" containsBlank="1"/>
    </cacheField>
    <cacheField name="Nearly every day(3)" numFmtId="0">
      <sharedItems containsNonDate="0" containsString="0" containsBlank="1"/>
    </cacheField>
    <cacheField name="NA" numFmtId="0">
      <sharedItems containsNonDate="0" containsString="0" containsBlank="1"/>
    </cacheField>
    <cacheField name="Sum" numFmtId="0">
      <sharedItems containsString="0" containsBlank="1"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31.828495833332" createdVersion="8" refreshedVersion="8" minRefreshableVersion="3" recordCount="34" xr:uid="{046F97BD-728F-4A7D-854C-D3960BE3E579}">
  <cacheSource type="worksheet">
    <worksheetSource ref="A2:H1048576" sheet="SWBYC_6_Month"/>
  </cacheSource>
  <cacheFields count="8">
    <cacheField name="Questions" numFmtId="0">
      <sharedItems containsBlank="1"/>
    </cacheField>
    <cacheField name="Groups" numFmtId="0">
      <sharedItems containsBlank="1" count="10">
        <s v="DEVELOPMENTAL MILESTONES"/>
        <s v="BPSC Inflexibility"/>
        <s v="BPSC Irritability"/>
        <s v="BPSC Routines"/>
        <s v="FAMILY QUESTIONS TOBACCO"/>
        <s v="FAMILY QUESTIONS DISORDER"/>
        <s v="FAMILY QUESTIONS INSECURITY"/>
        <s v="FAMILY QUESTIONS DEPRESSION"/>
        <s v="FAMILY QUESTIONS DOMESTIC VIOLENCE"/>
        <m/>
      </sharedItems>
    </cacheField>
    <cacheField name="Not Yet/Not At All(0)/Never True/Never at all/No tension/No difficulty/No" numFmtId="0">
      <sharedItems containsString="0" containsBlank="1" containsNumber="1" containsInteger="1" minValue="0" maxValue="0"/>
    </cacheField>
    <cacheField name="Somewhat(1)/Sometime True/Several days/Some tension/Some difficulty/Yes" numFmtId="0">
      <sharedItems containsString="0" containsBlank="1" containsNumber="1" containsInteger="1" minValue="1" maxValue="1"/>
    </cacheField>
    <cacheField name="Very Much(2)/Often True/More than half the days/A lot of tension/Great difficulty" numFmtId="0">
      <sharedItems containsString="0" containsBlank="1" containsNumber="1" containsInteger="1" minValue="2" maxValue="2"/>
    </cacheField>
    <cacheField name="Nearly every day(3)" numFmtId="0">
      <sharedItems containsNonDate="0" containsString="0" containsBlank="1"/>
    </cacheField>
    <cacheField name="NA" numFmtId="0">
      <sharedItems containsNonDate="0" containsString="0" containsBlank="1"/>
    </cacheField>
    <cacheField name="Sum" numFmtId="0">
      <sharedItems containsString="0" containsBlank="1" containsNumber="1" containsInteger="1" minValue="0" maxValue="2"/>
    </cacheField>
  </cacheFields>
  <extLst>
    <ext xmlns:x14="http://schemas.microsoft.com/office/spreadsheetml/2009/9/main" uri="{725AE2AE-9491-48be-B2B4-4EB974FC3084}">
      <x14:pivotCacheDefinition/>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31.873066550928" createdVersion="8" refreshedVersion="8" minRefreshableVersion="3" recordCount="31" xr:uid="{7819FC1B-9374-49C9-9CEE-F64004F0780B}">
  <cacheSource type="worksheet">
    <worksheetSource ref="A2:H1048576" sheet="SWBYC_12_Month"/>
  </cacheSource>
  <cacheFields count="8">
    <cacheField name="Questions" numFmtId="0">
      <sharedItems containsBlank="1"/>
    </cacheField>
    <cacheField name="Groups" numFmtId="0">
      <sharedItems containsBlank="1" count="10">
        <s v="DEVELOPMENTAL MILESTONES"/>
        <s v="BPSC Inflexibility"/>
        <s v="BPSC Irritability"/>
        <s v="BPSC Routines"/>
        <s v="FAMILY QUESTIONS TOBACCO"/>
        <s v="FAMILY QUESTIONS DISORDER"/>
        <s v="FAMILY QUESTIONS INSECURITY"/>
        <s v="FAMILY QUESTIONS DEPRESSION"/>
        <s v="FAMILY QUESTIONS DOMESTIC VIOLENCE"/>
        <m/>
      </sharedItems>
    </cacheField>
    <cacheField name="Not Yet/Not At All(0)/Never True/Never at all/No tension/No difficulty/No" numFmtId="0">
      <sharedItems containsString="0" containsBlank="1" containsNumber="1" containsInteger="1" minValue="0" maxValue="0"/>
    </cacheField>
    <cacheField name="Somewhat(1)/Sometime True/Several days/Some tension/Some difficulty/Yes" numFmtId="0">
      <sharedItems containsString="0" containsBlank="1" containsNumber="1" containsInteger="1" minValue="1" maxValue="1"/>
    </cacheField>
    <cacheField name="Very Much(2)/Often True/More than half the days/A lot of tension/Great difficulty" numFmtId="0">
      <sharedItems containsString="0" containsBlank="1" containsNumber="1" containsInteger="1" minValue="2" maxValue="2"/>
    </cacheField>
    <cacheField name="Nearly every day(3)" numFmtId="0">
      <sharedItems containsString="0" containsBlank="1" containsNumber="1" containsInteger="1" minValue="3" maxValue="3"/>
    </cacheField>
    <cacheField name="NA" numFmtId="0">
      <sharedItems containsBlank="1"/>
    </cacheField>
    <cacheField name="Sum" numFmtId="0">
      <sharedItems containsString="0" containsBlank="1" containsNumber="1" containsInteger="1" minValue="0" maxValue="3"/>
    </cacheField>
  </cacheFields>
  <extLst>
    <ext xmlns:x14="http://schemas.microsoft.com/office/spreadsheetml/2009/9/main" uri="{725AE2AE-9491-48be-B2B4-4EB974FC3084}">
      <x14:pivotCacheDefinition/>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31.879540393522" createdVersion="8" refreshedVersion="8" minRefreshableVersion="3" recordCount="31" xr:uid="{1F046123-9E21-4FCB-B282-DD804AC97952}">
  <cacheSource type="worksheet">
    <worksheetSource ref="A2:H1048576" sheet="SWBYC_15_Month"/>
  </cacheSource>
  <cacheFields count="8">
    <cacheField name="Questions" numFmtId="0">
      <sharedItems containsBlank="1"/>
    </cacheField>
    <cacheField name="Groups" numFmtId="0">
      <sharedItems containsBlank="1" count="10">
        <m/>
        <s v="DEVELOPMENTAL MILESTONES"/>
        <s v="BPSC Inflexibility"/>
        <s v="BPSC Irritability"/>
        <s v="BPSC Routines"/>
        <s v="FAMILY QUESTIONS TOBACCO"/>
        <s v="FAMILY QUESTIONS DISORDER"/>
        <s v="FAMILY QUESTIONS INSECURITY"/>
        <s v="FAMILY QUESTIONS DEPRESSION"/>
        <s v="FAMILY QUESTIONS DOMESTIC VIOLENCE"/>
      </sharedItems>
    </cacheField>
    <cacheField name="Not Yet/Not At All(0)/Never True/Never at all/No tension/No difficulty/No" numFmtId="0">
      <sharedItems containsString="0" containsBlank="1" containsNumber="1" containsInteger="1" minValue="0" maxValue="0"/>
    </cacheField>
    <cacheField name="Somewhat(1)/Sometime True/Several days/Some tension/Some difficulty/Yes" numFmtId="0">
      <sharedItems containsString="0" containsBlank="1" containsNumber="1" containsInteger="1" minValue="1" maxValue="1"/>
    </cacheField>
    <cacheField name="Very Much(2)/Often True/More than half the days/A lot of tension/Great difficulty" numFmtId="0">
      <sharedItems containsString="0" containsBlank="1" containsNumber="1" containsInteger="1" minValue="2" maxValue="2"/>
    </cacheField>
    <cacheField name="Nearly every day(3)" numFmtId="0">
      <sharedItems containsString="0" containsBlank="1" containsNumber="1" containsInteger="1" minValue="3" maxValue="3"/>
    </cacheField>
    <cacheField name="NA" numFmtId="0">
      <sharedItems containsBlank="1"/>
    </cacheField>
    <cacheField name="Sum" numFmtId="0">
      <sharedItems containsString="0" containsBlank="1" containsNumber="1" containsInteger="1" minValue="0" maxValue="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Causing fighting in the family"/>
    <x v="0"/>
    <x v="0"/>
  </r>
  <r>
    <s v="Causing problems between parents"/>
    <x v="1"/>
    <x v="0"/>
  </r>
  <r>
    <s v="Costs the family more money"/>
    <x v="2"/>
    <x v="0"/>
  </r>
  <r>
    <s v="Receives detentions (during or after school)"/>
    <x v="1"/>
    <x v="1"/>
  </r>
  <r>
    <s v="Causes problems for the teacher in the classroom"/>
    <x v="1"/>
    <x v="1"/>
  </r>
  <r>
    <s v="Problems with eating (picky eater, junk food)"/>
    <x v="3"/>
    <x v="2"/>
  </r>
  <r>
    <s v="Excessive use of TV, computer, or video games"/>
    <x v="2"/>
    <x v="2"/>
  </r>
  <r>
    <s v="Suspended or expelled from school"/>
    <x v="1"/>
    <x v="1"/>
  </r>
  <r>
    <s v="Needs extra help at school"/>
    <x v="1"/>
    <x v="3"/>
  </r>
  <r>
    <s v="Receives grades that are not as good as his/her ability"/>
    <x v="4"/>
    <x v="3"/>
  </r>
  <r>
    <s v="Difficulty keeping clean, brushing teeth, brushing hair, bathing, etc."/>
    <x v="0"/>
    <x v="2"/>
  </r>
  <r>
    <s v="Isolating the family from friends and social activities"/>
    <x v="2"/>
    <x v="0"/>
  </r>
  <r>
    <s v="Misses classes or is late for school"/>
    <x v="4"/>
    <x v="1"/>
  </r>
  <r>
    <s v="Needs tutoring"/>
    <x v="3"/>
    <x v="3"/>
  </r>
  <r>
    <s v="Makes it hard for the family to have fun together"/>
    <x v="0"/>
    <x v="0"/>
  </r>
  <r>
    <s v="Makes parenting difficult"/>
    <x v="1"/>
    <x v="0"/>
  </r>
  <r>
    <s v="Having problems with brothers &amp; sisters"/>
    <x v="3"/>
    <x v="0"/>
  </r>
  <r>
    <s v="Provokes others to hit or scream at him/her"/>
    <x v="4"/>
    <x v="0"/>
  </r>
  <r>
    <s v="Problems getting ready for bed"/>
    <x v="2"/>
    <x v="2"/>
  </r>
  <r>
    <s v="Problems getting ready for school"/>
    <x v="3"/>
    <x v="2"/>
  </r>
  <r>
    <s v="Makes it difficult to keep up with schoolwork"/>
    <x v="0"/>
    <x v="3"/>
  </r>
  <r>
    <s v="Having problems in the school yard"/>
    <x v="0"/>
    <x v="1"/>
  </r>
  <r>
    <s v="Problems with sleeping"/>
    <x v="2"/>
    <x v="2"/>
  </r>
  <r>
    <s v="Takes time away from family members’ work or activities"/>
    <x v="0"/>
    <x v="0"/>
  </r>
  <r>
    <s v="Receives ”time-out” or removal from the classroom"/>
    <x v="2"/>
    <x v="1"/>
  </r>
  <r>
    <s v="Makes it hard to give fair attention to all family members"/>
    <x v="1"/>
    <x v="0"/>
  </r>
  <r>
    <s v="Problems participating in after-school activities (sports, music, clubs)"/>
    <x v="3"/>
    <x v="4"/>
  </r>
  <r>
    <s v="Avoids exercise"/>
    <x v="1"/>
    <x v="2"/>
  </r>
  <r>
    <s v="Being teased or bullied by other children"/>
    <x v="0"/>
    <x v="4"/>
  </r>
  <r>
    <s v="Teases or bullies other children"/>
    <x v="1"/>
    <x v="4"/>
  </r>
  <r>
    <s v="Has trouble taking medication,getting needles or visiting the doctor/dentist"/>
    <x v="4"/>
    <x v="2"/>
  </r>
  <r>
    <s v="Gets hurt or injured"/>
    <x v="0"/>
    <x v="2"/>
  </r>
  <r>
    <s v="Problems getting along with other children"/>
    <x v="1"/>
    <x v="4"/>
  </r>
  <r>
    <s v="Problems keeping friends"/>
    <x v="3"/>
    <x v="4"/>
  </r>
  <r>
    <s v="Problems making new friends"/>
    <x v="1"/>
    <x v="4"/>
  </r>
  <r>
    <s v="Needs more medical care"/>
    <x v="2"/>
    <x v="2"/>
  </r>
  <r>
    <s v="My child does not have enough fun"/>
    <x v="1"/>
    <x v="5"/>
  </r>
  <r>
    <s v="My child is not happy with his/her life"/>
    <x v="2"/>
    <x v="5"/>
  </r>
  <r>
    <s v="Difficulty with parties (not invited, avoids them, misbehaves)"/>
    <x v="4"/>
    <x v="4"/>
  </r>
  <r>
    <s v="Feels bad about himself/herself"/>
    <x v="3"/>
    <x v="5"/>
  </r>
  <r>
    <s v="Smoking cigarettes"/>
    <x v="4"/>
    <x v="6"/>
  </r>
  <r>
    <s v="Breaking or damaging things"/>
    <x v="0"/>
    <x v="6"/>
  </r>
  <r>
    <s v="Doing dangerous things"/>
    <x v="2"/>
    <x v="6"/>
  </r>
  <r>
    <s v="Doing things that are illegal"/>
    <x v="1"/>
    <x v="6"/>
  </r>
  <r>
    <s v="Taking illegal drugs"/>
    <x v="2"/>
    <x v="6"/>
  </r>
  <r>
    <s v="Causes injury to others"/>
    <x v="0"/>
    <x v="6"/>
  </r>
  <r>
    <s v="Easily led by other children (peer pressure)"/>
    <x v="2"/>
    <x v="6"/>
  </r>
  <r>
    <s v="Being involved with the police"/>
    <x v="3"/>
    <x v="6"/>
  </r>
  <r>
    <s v="Says mean or inappropriate things"/>
    <x v="1"/>
    <x v="6"/>
  </r>
  <r>
    <s v="Sexually inappropriate behaviour"/>
    <x v="4"/>
    <x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
  <r>
    <n v="3"/>
    <x v="0"/>
  </r>
  <r>
    <n v="3"/>
    <x v="1"/>
  </r>
  <r>
    <n v="3"/>
    <x v="2"/>
  </r>
  <r>
    <n v="3"/>
    <x v="3"/>
  </r>
  <r>
    <n v="3"/>
    <x v="0"/>
  </r>
  <r>
    <n v="3"/>
    <x v="4"/>
  </r>
  <r>
    <n v="3"/>
    <x v="5"/>
  </r>
  <r>
    <n v="3"/>
    <x v="3"/>
  </r>
  <r>
    <n v="3"/>
    <x v="6"/>
  </r>
  <r>
    <n v="3"/>
    <x v="5"/>
  </r>
  <r>
    <n v="3"/>
    <x v="6"/>
  </r>
  <r>
    <n v="3"/>
    <x v="7"/>
  </r>
  <r>
    <n v="3"/>
    <x v="1"/>
  </r>
  <r>
    <n v="3"/>
    <x v="7"/>
  </r>
  <r>
    <n v="3"/>
    <x v="1"/>
  </r>
  <r>
    <n v="3"/>
    <x v="5"/>
  </r>
  <r>
    <n v="3"/>
    <x v="2"/>
  </r>
  <r>
    <n v="3"/>
    <x v="3"/>
  </r>
  <r>
    <n v="3"/>
    <x v="7"/>
  </r>
  <r>
    <n v="3"/>
    <x v="0"/>
  </r>
  <r>
    <n v="3"/>
    <x v="2"/>
  </r>
  <r>
    <n v="3"/>
    <x v="0"/>
  </r>
  <r>
    <n v="3"/>
    <x v="6"/>
  </r>
  <r>
    <n v="3"/>
    <x v="5"/>
  </r>
  <r>
    <n v="3"/>
    <x v="6"/>
  </r>
  <r>
    <n v="3"/>
    <x v="2"/>
  </r>
  <r>
    <n v="3"/>
    <x v="1"/>
  </r>
  <r>
    <n v="3"/>
    <x v="7"/>
  </r>
  <r>
    <n v="3"/>
    <x v="4"/>
  </r>
  <r>
    <n v="3"/>
    <x v="2"/>
  </r>
  <r>
    <n v="3"/>
    <x v="4"/>
  </r>
  <r>
    <n v="3"/>
    <x v="5"/>
  </r>
  <r>
    <n v="3"/>
    <x v="5"/>
  </r>
  <r>
    <n v="3"/>
    <x v="7"/>
  </r>
  <r>
    <n v="3"/>
    <x v="3"/>
  </r>
  <r>
    <m/>
    <x v="8"/>
  </r>
  <r>
    <m/>
    <x v="8"/>
  </r>
  <r>
    <m/>
    <x v="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n v="1"/>
    <s v="When my child feels frightened, it is hard for him/her to breathe "/>
    <n v="0"/>
    <m/>
    <m/>
    <x v="0"/>
    <n v="0"/>
  </r>
  <r>
    <n v="2"/>
    <s v="My child gets headaches when he/she is at school "/>
    <n v="0"/>
    <m/>
    <m/>
    <x v="1"/>
    <n v="0"/>
  </r>
  <r>
    <n v="3"/>
    <s v="My child doesn’t like to be with people he/she doesn’t know well "/>
    <n v="0"/>
    <m/>
    <m/>
    <x v="2"/>
    <n v="0"/>
  </r>
  <r>
    <n v="4"/>
    <s v="My child gets scared if he/she sleeps away from home "/>
    <n v="0"/>
    <m/>
    <m/>
    <x v="3"/>
    <n v="0"/>
  </r>
  <r>
    <n v="5"/>
    <s v="My child worries about other people liking him/her "/>
    <n v="0"/>
    <m/>
    <m/>
    <x v="4"/>
    <n v="0"/>
  </r>
  <r>
    <n v="6"/>
    <s v="When my child gets frightened, he/she feels like passing out "/>
    <n v="0"/>
    <m/>
    <m/>
    <x v="0"/>
    <n v="0"/>
  </r>
  <r>
    <n v="7"/>
    <s v=" My child is nervous "/>
    <n v="0"/>
    <m/>
    <m/>
    <x v="4"/>
    <n v="0"/>
  </r>
  <r>
    <n v="8"/>
    <s v="My child follows me wherever I go"/>
    <n v="0"/>
    <m/>
    <m/>
    <x v="3"/>
    <n v="0"/>
  </r>
  <r>
    <n v="9"/>
    <s v="People tell me that my child looks nervous "/>
    <n v="0"/>
    <m/>
    <m/>
    <x v="0"/>
    <n v="0"/>
  </r>
  <r>
    <n v="10"/>
    <s v="My child feels nervous with people he/she doesn’t know well "/>
    <n v="0"/>
    <m/>
    <m/>
    <x v="2"/>
    <n v="0"/>
  </r>
  <r>
    <n v="11"/>
    <s v="My child gets stomachaches at school "/>
    <n v="0"/>
    <m/>
    <m/>
    <x v="1"/>
    <n v="0"/>
  </r>
  <r>
    <n v="12"/>
    <s v="When my child gets frightened, he/she feels like he/she is going crazy "/>
    <n v="0"/>
    <m/>
    <m/>
    <x v="0"/>
    <n v="0"/>
  </r>
  <r>
    <n v="13"/>
    <s v="My child worries about sleeping alone "/>
    <n v="0"/>
    <m/>
    <m/>
    <x v="3"/>
    <n v="0"/>
  </r>
  <r>
    <n v="14"/>
    <s v="My child worries about being as good as other kids "/>
    <n v="0"/>
    <m/>
    <m/>
    <x v="4"/>
    <n v="0"/>
  </r>
  <r>
    <n v="15"/>
    <s v="When he/she gets frightened, he/she feels like things are not real "/>
    <n v="0"/>
    <m/>
    <m/>
    <x v="0"/>
    <n v="0"/>
  </r>
  <r>
    <n v="16"/>
    <s v="My child has nightmares about something bad happening to his/her parents "/>
    <m/>
    <n v="1"/>
    <m/>
    <x v="3"/>
    <n v="1"/>
  </r>
  <r>
    <n v="17"/>
    <s v="My child worries about going to school "/>
    <m/>
    <n v="1"/>
    <m/>
    <x v="1"/>
    <n v="1"/>
  </r>
  <r>
    <n v="18"/>
    <s v="When my child gets frightened, his/her heart beats fast "/>
    <m/>
    <n v="1"/>
    <m/>
    <x v="0"/>
    <n v="1"/>
  </r>
  <r>
    <n v="19"/>
    <s v="He/she gets shaky"/>
    <m/>
    <n v="1"/>
    <m/>
    <x v="0"/>
    <n v="1"/>
  </r>
  <r>
    <n v="20"/>
    <s v="My child has nightmares about something bad happening to him/her "/>
    <m/>
    <n v="1"/>
    <m/>
    <x v="3"/>
    <n v="1"/>
  </r>
  <r>
    <n v="21"/>
    <s v="My child worries about things working out for him/her "/>
    <m/>
    <n v="1"/>
    <m/>
    <x v="4"/>
    <n v="1"/>
  </r>
  <r>
    <n v="22"/>
    <s v="When my child gets frightened, he/she sweats a lot "/>
    <m/>
    <n v="1"/>
    <m/>
    <x v="0"/>
    <n v="1"/>
  </r>
  <r>
    <n v="23"/>
    <s v="My child is a worrier "/>
    <m/>
    <n v="1"/>
    <m/>
    <x v="4"/>
    <n v="1"/>
  </r>
  <r>
    <n v="24"/>
    <s v="My child gets really frightened for no reason at all "/>
    <m/>
    <n v="1"/>
    <m/>
    <x v="0"/>
    <n v="1"/>
  </r>
  <r>
    <n v="25"/>
    <s v="My child is afraid to be alone in the house "/>
    <m/>
    <n v="1"/>
    <m/>
    <x v="3"/>
    <n v="1"/>
  </r>
  <r>
    <n v="26"/>
    <s v="It is hard for my child to talk with people he/she doesn’t know well "/>
    <m/>
    <n v="1"/>
    <m/>
    <x v="2"/>
    <n v="1"/>
  </r>
  <r>
    <n v="27"/>
    <s v="When my child gets frightened, he/she feels like he/she is choking "/>
    <m/>
    <n v="1"/>
    <m/>
    <x v="0"/>
    <n v="1"/>
  </r>
  <r>
    <n v="28"/>
    <s v="People tell me that my child worries too much "/>
    <m/>
    <n v="1"/>
    <m/>
    <x v="4"/>
    <n v="1"/>
  </r>
  <r>
    <n v="29"/>
    <s v="My child doesn’t like to be away from his/her family "/>
    <m/>
    <n v="1"/>
    <m/>
    <x v="3"/>
    <n v="1"/>
  </r>
  <r>
    <n v="30"/>
    <s v="My child is afraid of having anxiety (or panic) attacks "/>
    <m/>
    <n v="1"/>
    <m/>
    <x v="0"/>
    <n v="1"/>
  </r>
  <r>
    <n v="31"/>
    <s v="My child worries that something bad might happen to his/her parents "/>
    <m/>
    <m/>
    <n v="2"/>
    <x v="3"/>
    <n v="2"/>
  </r>
  <r>
    <n v="32"/>
    <s v="My child feels shy with people he/she doesn’t know well "/>
    <m/>
    <m/>
    <n v="2"/>
    <x v="2"/>
    <n v="2"/>
  </r>
  <r>
    <n v="33"/>
    <s v="My child worries about what is going to happen in the future "/>
    <m/>
    <m/>
    <n v="2"/>
    <x v="4"/>
    <n v="2"/>
  </r>
  <r>
    <n v="34"/>
    <s v="When my child gets frightened, he/she feels like throwing up "/>
    <m/>
    <m/>
    <n v="2"/>
    <x v="0"/>
    <n v="2"/>
  </r>
  <r>
    <n v="35"/>
    <s v="My child worries about how well he/she does things "/>
    <m/>
    <m/>
    <n v="2"/>
    <x v="4"/>
    <n v="2"/>
  </r>
  <r>
    <n v="36"/>
    <s v="My child is scared to go to school "/>
    <m/>
    <m/>
    <n v="2"/>
    <x v="1"/>
    <n v="2"/>
  </r>
  <r>
    <n v="37"/>
    <s v="My child worries about things that have already happened "/>
    <m/>
    <m/>
    <n v="2"/>
    <x v="4"/>
    <n v="2"/>
  </r>
  <r>
    <n v="38"/>
    <s v="When my child gets frightened, he/she feels dizzy "/>
    <m/>
    <m/>
    <n v="2"/>
    <x v="0"/>
    <n v="2"/>
  </r>
  <r>
    <n v="39"/>
    <s v="My child feels nervous when he/she is with other children or adults and he/she has to do something while they watch him/her (for example: read aloud, speak, play a game, play a sport)"/>
    <m/>
    <n v="1"/>
    <m/>
    <x v="2"/>
    <n v="1"/>
  </r>
  <r>
    <n v="40"/>
    <s v="My child feels nervous when he/she is going to parties, dances, or any place where there will be people that he/she doesn’t know well "/>
    <m/>
    <m/>
    <n v="2"/>
    <x v="2"/>
    <n v="2"/>
  </r>
  <r>
    <n v="41"/>
    <s v="My child is shy "/>
    <m/>
    <m/>
    <n v="2"/>
    <x v="2"/>
    <n v="2"/>
  </r>
  <r>
    <m/>
    <m/>
    <m/>
    <m/>
    <m/>
    <x v="5"/>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n v="1"/>
    <s v="Knows own name"/>
    <n v="1"/>
    <m/>
    <m/>
    <m/>
    <x v="0"/>
    <n v="1"/>
  </r>
  <r>
    <n v="2"/>
    <s v="Responds to ‘No’ or ‘Stop’"/>
    <n v="1"/>
    <m/>
    <m/>
    <m/>
    <x v="0"/>
    <n v="1"/>
  </r>
  <r>
    <n v="3"/>
    <s v="Can follow some commands"/>
    <n v="1"/>
    <m/>
    <m/>
    <m/>
    <x v="0"/>
    <n v="1"/>
  </r>
  <r>
    <n v="4"/>
    <s v="Can use one word at a time (No!, Eat, Water, etc.)"/>
    <n v="1"/>
    <m/>
    <m/>
    <m/>
    <x v="0"/>
    <n v="1"/>
  </r>
  <r>
    <n v="5"/>
    <s v="Can use 2 words at a time (Don't want, Go home)"/>
    <n v="1"/>
    <m/>
    <m/>
    <m/>
    <x v="0"/>
    <n v="1"/>
  </r>
  <r>
    <n v="6"/>
    <s v="Can use 3 words at a time (Want more milk)"/>
    <m/>
    <n v="2"/>
    <m/>
    <m/>
    <x v="0"/>
    <n v="2"/>
  </r>
  <r>
    <n v="7"/>
    <s v="Knows 10 or more words"/>
    <m/>
    <n v="2"/>
    <m/>
    <m/>
    <x v="0"/>
    <n v="2"/>
  </r>
  <r>
    <n v="8"/>
    <s v="Can use sentences with 4 or more words"/>
    <m/>
    <n v="2"/>
    <m/>
    <m/>
    <x v="0"/>
    <n v="2"/>
  </r>
  <r>
    <n v="9"/>
    <s v="Explains what he/she wants"/>
    <m/>
    <n v="2"/>
    <m/>
    <m/>
    <x v="0"/>
    <n v="2"/>
  </r>
  <r>
    <n v="10"/>
    <s v="Asks meaningful questions"/>
    <m/>
    <n v="2"/>
    <m/>
    <m/>
    <x v="0"/>
    <n v="2"/>
  </r>
  <r>
    <n v="11"/>
    <s v="Speech tends to be meaningful/relevant"/>
    <m/>
    <m/>
    <n v="3"/>
    <m/>
    <x v="0"/>
    <n v="3"/>
  </r>
  <r>
    <n v="12"/>
    <s v="Often uses several successive sentences"/>
    <m/>
    <m/>
    <n v="3"/>
    <m/>
    <x v="0"/>
    <n v="3"/>
  </r>
  <r>
    <n v="13"/>
    <s v="Carries on fairly good conversation"/>
    <m/>
    <m/>
    <n v="3"/>
    <m/>
    <x v="0"/>
    <n v="3"/>
  </r>
  <r>
    <n v="14"/>
    <s v="Has normal ability to communicate for his/her age"/>
    <m/>
    <m/>
    <n v="3"/>
    <m/>
    <x v="0"/>
    <n v="3"/>
  </r>
  <r>
    <n v="15"/>
    <s v="Seems to be in a shell – you cannot reach him/her"/>
    <n v="1"/>
    <m/>
    <m/>
    <m/>
    <x v="1"/>
    <n v="1"/>
  </r>
  <r>
    <n v="16"/>
    <s v="Ignores other people"/>
    <n v="1"/>
    <m/>
    <m/>
    <m/>
    <x v="1"/>
    <n v="1"/>
  </r>
  <r>
    <n v="17"/>
    <s v="Pays little or no attention when addressed"/>
    <n v="1"/>
    <m/>
    <m/>
    <m/>
    <x v="1"/>
    <n v="1"/>
  </r>
  <r>
    <n v="18"/>
    <s v="Uncooperative and resistant"/>
    <n v="1"/>
    <m/>
    <m/>
    <m/>
    <x v="1"/>
    <n v="1"/>
  </r>
  <r>
    <n v="19"/>
    <s v="No eye contact"/>
    <n v="1"/>
    <m/>
    <m/>
    <m/>
    <x v="1"/>
    <n v="1"/>
  </r>
  <r>
    <n v="20"/>
    <s v="Prefers to be left alone"/>
    <m/>
    <n v="2"/>
    <m/>
    <m/>
    <x v="1"/>
    <n v="2"/>
  </r>
  <r>
    <n v="21"/>
    <s v="Shows no affection"/>
    <m/>
    <n v="2"/>
    <m/>
    <m/>
    <x v="1"/>
    <n v="2"/>
  </r>
  <r>
    <n v="22"/>
    <s v="Fails to greet parents"/>
    <m/>
    <n v="2"/>
    <m/>
    <m/>
    <x v="1"/>
    <n v="2"/>
  </r>
  <r>
    <n v="23"/>
    <s v="Avoids contact with others"/>
    <m/>
    <n v="2"/>
    <m/>
    <m/>
    <x v="1"/>
    <n v="2"/>
  </r>
  <r>
    <n v="24"/>
    <s v="Does not imitate"/>
    <m/>
    <n v="2"/>
    <m/>
    <m/>
    <x v="1"/>
    <n v="2"/>
  </r>
  <r>
    <n v="25"/>
    <s v="Dislikes being held/cuddled"/>
    <m/>
    <n v="2"/>
    <m/>
    <m/>
    <x v="1"/>
    <n v="2"/>
  </r>
  <r>
    <n v="26"/>
    <s v="Does not share or show"/>
    <m/>
    <m/>
    <n v="3"/>
    <m/>
    <x v="1"/>
    <n v="3"/>
  </r>
  <r>
    <n v="27"/>
    <s v="Does not wave ‘bye bye"/>
    <m/>
    <m/>
    <n v="3"/>
    <m/>
    <x v="1"/>
    <n v="3"/>
  </r>
  <r>
    <n v="28"/>
    <s v="Disagreeable/not compliant"/>
    <m/>
    <m/>
    <n v="3"/>
    <m/>
    <x v="1"/>
    <n v="3"/>
  </r>
  <r>
    <n v="29"/>
    <s v="Temper tantrums"/>
    <m/>
    <m/>
    <n v="3"/>
    <m/>
    <x v="1"/>
    <n v="3"/>
  </r>
  <r>
    <n v="30"/>
    <s v="Lacks friends/companions"/>
    <m/>
    <m/>
    <n v="3"/>
    <m/>
    <x v="1"/>
    <n v="3"/>
  </r>
  <r>
    <n v="31"/>
    <s v="Rarely smiles"/>
    <m/>
    <m/>
    <n v="3"/>
    <m/>
    <x v="1"/>
    <n v="3"/>
  </r>
  <r>
    <n v="32"/>
    <s v="Insensitive to other's feelings"/>
    <n v="1"/>
    <m/>
    <m/>
    <m/>
    <x v="1"/>
    <n v="1"/>
  </r>
  <r>
    <n v="33"/>
    <s v="Indifferent to being liked"/>
    <n v="1"/>
    <m/>
    <m/>
    <m/>
    <x v="1"/>
    <n v="1"/>
  </r>
  <r>
    <n v="34"/>
    <s v="Indifferent if parent(s) leave"/>
    <m/>
    <n v="2"/>
    <m/>
    <m/>
    <x v="1"/>
    <n v="2"/>
  </r>
  <r>
    <n v="35"/>
    <s v="Responds to own name"/>
    <n v="1"/>
    <m/>
    <m/>
    <m/>
    <x v="2"/>
    <n v="1"/>
  </r>
  <r>
    <n v="36"/>
    <s v="Responds to praise"/>
    <n v="1"/>
    <m/>
    <m/>
    <m/>
    <x v="2"/>
    <n v="1"/>
  </r>
  <r>
    <n v="37"/>
    <s v="Looks at people and animals"/>
    <n v="1"/>
    <m/>
    <m/>
    <m/>
    <x v="2"/>
    <n v="1"/>
  </r>
  <r>
    <n v="38"/>
    <s v="Looks at pictures (and T.V.)"/>
    <m/>
    <n v="2"/>
    <m/>
    <m/>
    <x v="2"/>
    <n v="2"/>
  </r>
  <r>
    <n v="39"/>
    <s v="Does drawing, coloring, art"/>
    <m/>
    <n v="2"/>
    <m/>
    <m/>
    <x v="2"/>
    <n v="2"/>
  </r>
  <r>
    <n v="40"/>
    <s v="Plays with toys appropriately"/>
    <m/>
    <n v="2"/>
    <m/>
    <m/>
    <x v="2"/>
    <n v="2"/>
  </r>
  <r>
    <n v="41"/>
    <s v="Appropriate facial expression"/>
    <m/>
    <m/>
    <n v="3"/>
    <m/>
    <x v="2"/>
    <n v="3"/>
  </r>
  <r>
    <n v="42"/>
    <s v="Understands stories on T.V."/>
    <m/>
    <m/>
    <n v="3"/>
    <m/>
    <x v="2"/>
    <n v="3"/>
  </r>
  <r>
    <n v="43"/>
    <s v="Understands explanations"/>
    <m/>
    <m/>
    <n v="3"/>
    <m/>
    <x v="2"/>
    <n v="3"/>
  </r>
  <r>
    <n v="44"/>
    <s v="Aware of environment"/>
    <n v="1"/>
    <m/>
    <m/>
    <m/>
    <x v="2"/>
    <n v="1"/>
  </r>
  <r>
    <n v="45"/>
    <s v="Aware of danger"/>
    <n v="1"/>
    <m/>
    <m/>
    <m/>
    <x v="2"/>
    <n v="1"/>
  </r>
  <r>
    <n v="46"/>
    <s v="Shows imagination"/>
    <m/>
    <n v="2"/>
    <m/>
    <m/>
    <x v="2"/>
    <n v="2"/>
  </r>
  <r>
    <n v="47"/>
    <s v="Initiates activities"/>
    <m/>
    <n v="2"/>
    <m/>
    <m/>
    <x v="2"/>
    <n v="2"/>
  </r>
  <r>
    <n v="48"/>
    <s v="Dresses self"/>
    <m/>
    <n v="2"/>
    <m/>
    <m/>
    <x v="2"/>
    <n v="2"/>
  </r>
  <r>
    <n v="49"/>
    <s v="Curious, interested"/>
    <m/>
    <m/>
    <n v="3"/>
    <m/>
    <x v="2"/>
    <n v="3"/>
  </r>
  <r>
    <n v="50"/>
    <s v="Venturesome - explores"/>
    <m/>
    <m/>
    <n v="3"/>
    <m/>
    <x v="2"/>
    <n v="3"/>
  </r>
  <r>
    <n v="51"/>
    <s v="“Tuned in” — Not spacey"/>
    <m/>
    <m/>
    <n v="3"/>
    <m/>
    <x v="2"/>
    <n v="3"/>
  </r>
  <r>
    <n v="52"/>
    <s v="Looks where others are looking"/>
    <n v="1"/>
    <m/>
    <m/>
    <m/>
    <x v="2"/>
    <n v="1"/>
  </r>
  <r>
    <n v="53"/>
    <s v="Bed-wetting"/>
    <n v="1"/>
    <m/>
    <m/>
    <m/>
    <x v="3"/>
    <n v="1"/>
  </r>
  <r>
    <n v="54"/>
    <s v="Wets pants/diapers"/>
    <n v="1"/>
    <m/>
    <m/>
    <m/>
    <x v="3"/>
    <n v="1"/>
  </r>
  <r>
    <n v="55"/>
    <s v="Soils pants/diapers"/>
    <n v="1"/>
    <m/>
    <m/>
    <m/>
    <x v="3"/>
    <n v="1"/>
  </r>
  <r>
    <n v="56"/>
    <s v="Diarrhea"/>
    <n v="1"/>
    <m/>
    <m/>
    <m/>
    <x v="3"/>
    <n v="1"/>
  </r>
  <r>
    <n v="57"/>
    <s v="Constipation"/>
    <m/>
    <n v="2"/>
    <m/>
    <m/>
    <x v="3"/>
    <n v="2"/>
  </r>
  <r>
    <n v="58"/>
    <s v="Sleep problems"/>
    <m/>
    <n v="2"/>
    <m/>
    <m/>
    <x v="3"/>
    <n v="2"/>
  </r>
  <r>
    <n v="59"/>
    <s v="Eats too much/too little"/>
    <m/>
    <n v="2"/>
    <m/>
    <m/>
    <x v="3"/>
    <n v="2"/>
  </r>
  <r>
    <n v="60"/>
    <s v="Extremely limited diet"/>
    <m/>
    <n v="2"/>
    <m/>
    <m/>
    <x v="3"/>
    <n v="2"/>
  </r>
  <r>
    <n v="61"/>
    <s v="Hyperactive"/>
    <m/>
    <m/>
    <n v="3"/>
    <m/>
    <x v="3"/>
    <n v="3"/>
  </r>
  <r>
    <n v="62"/>
    <s v="Lethargic"/>
    <m/>
    <m/>
    <n v="3"/>
    <m/>
    <x v="3"/>
    <n v="3"/>
  </r>
  <r>
    <n v="63"/>
    <s v="Hits or injures self"/>
    <m/>
    <m/>
    <n v="3"/>
    <m/>
    <x v="3"/>
    <n v="3"/>
  </r>
  <r>
    <n v="64"/>
    <s v="Hits or injures others"/>
    <m/>
    <m/>
    <n v="3"/>
    <m/>
    <x v="3"/>
    <n v="3"/>
  </r>
  <r>
    <n v="65"/>
    <s v="Destructive"/>
    <m/>
    <m/>
    <m/>
    <n v="4"/>
    <x v="3"/>
    <n v="4"/>
  </r>
  <r>
    <n v="66"/>
    <s v="Sound-sensitive"/>
    <m/>
    <m/>
    <m/>
    <n v="4"/>
    <x v="3"/>
    <n v="4"/>
  </r>
  <r>
    <n v="67"/>
    <s v="Anxious/fearful"/>
    <m/>
    <m/>
    <m/>
    <n v="4"/>
    <x v="3"/>
    <n v="4"/>
  </r>
  <r>
    <n v="68"/>
    <s v="Unhappy/crying"/>
    <m/>
    <m/>
    <m/>
    <n v="4"/>
    <x v="3"/>
    <n v="4"/>
  </r>
  <r>
    <n v="69"/>
    <s v="Seizures"/>
    <m/>
    <m/>
    <m/>
    <n v="4"/>
    <x v="3"/>
    <n v="4"/>
  </r>
  <r>
    <n v="70"/>
    <s v="Obsessive speech"/>
    <m/>
    <m/>
    <m/>
    <n v="4"/>
    <x v="3"/>
    <n v="4"/>
  </r>
  <r>
    <n v="71"/>
    <s v="Rigid routines"/>
    <n v="1"/>
    <m/>
    <m/>
    <m/>
    <x v="3"/>
    <n v="1"/>
  </r>
  <r>
    <n v="72"/>
    <s v="Shouts or screams"/>
    <m/>
    <n v="2"/>
    <m/>
    <m/>
    <x v="3"/>
    <n v="2"/>
  </r>
  <r>
    <n v="73"/>
    <s v="Demands sameness"/>
    <m/>
    <m/>
    <n v="3"/>
    <m/>
    <x v="3"/>
    <n v="3"/>
  </r>
  <r>
    <n v="74"/>
    <s v="Often agitated"/>
    <m/>
    <m/>
    <m/>
    <n v="4"/>
    <x v="3"/>
    <n v="4"/>
  </r>
  <r>
    <n v="75"/>
    <s v="Not sensitive to pain"/>
    <m/>
    <m/>
    <m/>
    <n v="4"/>
    <x v="3"/>
    <n v="4"/>
  </r>
  <r>
    <n v="76"/>
    <s v="“Hooked” or fixated on certain objects/topics"/>
    <m/>
    <m/>
    <m/>
    <n v="4"/>
    <x v="3"/>
    <n v="4"/>
  </r>
  <r>
    <n v="77"/>
    <s v="Repetitive movements (stimming, rocking, etc.)"/>
    <m/>
    <m/>
    <m/>
    <n v="4"/>
    <x v="3"/>
    <n v="4"/>
  </r>
  <r>
    <m/>
    <m/>
    <m/>
    <m/>
    <m/>
    <m/>
    <x v="4"/>
    <m/>
  </r>
  <r>
    <m/>
    <m/>
    <m/>
    <m/>
    <m/>
    <m/>
    <x v="4"/>
    <m/>
  </r>
  <r>
    <m/>
    <m/>
    <m/>
    <m/>
    <m/>
    <m/>
    <x v="4"/>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x v="0"/>
    <n v="0"/>
  </r>
  <r>
    <x v="1"/>
    <n v="0"/>
  </r>
  <r>
    <x v="2"/>
    <n v="0"/>
  </r>
  <r>
    <x v="3"/>
    <n v="0"/>
  </r>
  <r>
    <x v="4"/>
    <n v="0"/>
  </r>
  <r>
    <x v="0"/>
    <n v="0"/>
  </r>
  <r>
    <x v="4"/>
    <n v="0"/>
  </r>
  <r>
    <x v="3"/>
    <n v="0"/>
  </r>
  <r>
    <x v="0"/>
    <n v="0"/>
  </r>
  <r>
    <x v="2"/>
    <n v="0"/>
  </r>
  <r>
    <x v="1"/>
    <n v="1"/>
  </r>
  <r>
    <x v="0"/>
    <n v="1"/>
  </r>
  <r>
    <x v="3"/>
    <n v="1"/>
  </r>
  <r>
    <x v="4"/>
    <n v="1"/>
  </r>
  <r>
    <x v="0"/>
    <n v="1"/>
  </r>
  <r>
    <x v="3"/>
    <n v="1"/>
  </r>
  <r>
    <x v="1"/>
    <n v="1"/>
  </r>
  <r>
    <x v="0"/>
    <n v="1"/>
  </r>
  <r>
    <x v="0"/>
    <n v="1"/>
  </r>
  <r>
    <x v="3"/>
    <n v="1"/>
  </r>
  <r>
    <x v="4"/>
    <n v="2"/>
  </r>
  <r>
    <x v="0"/>
    <n v="2"/>
  </r>
  <r>
    <x v="4"/>
    <n v="2"/>
  </r>
  <r>
    <x v="0"/>
    <n v="2"/>
  </r>
  <r>
    <x v="3"/>
    <n v="2"/>
  </r>
  <r>
    <x v="2"/>
    <n v="2"/>
  </r>
  <r>
    <x v="0"/>
    <n v="2"/>
  </r>
  <r>
    <x v="4"/>
    <n v="2"/>
  </r>
  <r>
    <x v="3"/>
    <n v="2"/>
  </r>
  <r>
    <x v="0"/>
    <n v="2"/>
  </r>
  <r>
    <x v="3"/>
    <n v="0"/>
  </r>
  <r>
    <x v="2"/>
    <n v="0"/>
  </r>
  <r>
    <x v="4"/>
    <n v="0"/>
  </r>
  <r>
    <x v="0"/>
    <n v="1"/>
  </r>
  <r>
    <x v="4"/>
    <n v="1"/>
  </r>
  <r>
    <x v="1"/>
    <n v="1"/>
  </r>
  <r>
    <x v="4"/>
    <n v="1"/>
  </r>
  <r>
    <x v="0"/>
    <n v="1"/>
  </r>
  <r>
    <x v="2"/>
    <n v="2"/>
  </r>
  <r>
    <x v="2"/>
    <n v="2"/>
  </r>
  <r>
    <x v="2"/>
    <n v="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s v="Not  True"/>
    <s v="Certainly True"/>
    <x v="0"/>
    <n v="0"/>
    <n v="1"/>
    <n v="2"/>
    <s v=""/>
    <n v="2"/>
  </r>
  <r>
    <s v="Not True"/>
    <s v="Certainly True"/>
    <x v="1"/>
    <n v="0"/>
    <n v="1"/>
    <n v="2"/>
    <n v="0"/>
    <n v="2"/>
  </r>
  <r>
    <s v="Not True"/>
    <s v="Certainly True"/>
    <x v="2"/>
    <n v="0"/>
    <n v="1"/>
    <n v="2"/>
    <n v="0"/>
    <n v="2"/>
  </r>
  <r>
    <s v="Somewhat True"/>
    <s v="Certainly True"/>
    <x v="0"/>
    <n v="0"/>
    <n v="1"/>
    <n v="2"/>
    <n v="1"/>
    <n v="2"/>
  </r>
  <r>
    <s v="Somewhat True"/>
    <s v="Certainly True"/>
    <x v="3"/>
    <n v="0"/>
    <n v="1"/>
    <n v="2"/>
    <n v="1"/>
    <n v="2"/>
  </r>
  <r>
    <s v="Certainly True"/>
    <s v="Certainly True"/>
    <x v="4"/>
    <n v="0"/>
    <n v="1"/>
    <n v="2"/>
    <n v="2"/>
    <n v="2"/>
  </r>
  <r>
    <s v="Certainly True"/>
    <s v="Certainly True"/>
    <x v="3"/>
    <n v="2"/>
    <n v="1"/>
    <n v="0"/>
    <n v="0"/>
    <n v="0"/>
  </r>
  <r>
    <s v="Certainly True"/>
    <s v="Certainly True"/>
    <x v="2"/>
    <n v="0"/>
    <n v="1"/>
    <n v="2"/>
    <n v="2"/>
    <n v="2"/>
  </r>
  <r>
    <s v="Somewhat True"/>
    <s v="Certainly True"/>
    <x v="0"/>
    <n v="0"/>
    <n v="1"/>
    <n v="2"/>
    <n v="1"/>
    <n v="2"/>
  </r>
  <r>
    <s v="Not True"/>
    <s v="Certainly True"/>
    <x v="1"/>
    <n v="0"/>
    <n v="1"/>
    <n v="2"/>
    <n v="0"/>
    <n v="2"/>
  </r>
  <r>
    <s v="Not True"/>
    <s v="Certainly True"/>
    <x v="4"/>
    <n v="2"/>
    <n v="1"/>
    <n v="0"/>
    <n v="2"/>
    <n v="0"/>
  </r>
  <r>
    <s v="Not True"/>
    <s v="Certainly True"/>
    <x v="3"/>
    <n v="0"/>
    <n v="1"/>
    <n v="2"/>
    <n v="0"/>
    <n v="2"/>
  </r>
  <r>
    <s v="Somewhat True"/>
    <s v="Certainly True"/>
    <x v="2"/>
    <n v="0"/>
    <n v="1"/>
    <n v="2"/>
    <n v="1"/>
    <n v="2"/>
  </r>
  <r>
    <s v="Somewhat True"/>
    <s v="Certainly True"/>
    <x v="4"/>
    <n v="2"/>
    <n v="1"/>
    <n v="0"/>
    <n v="1"/>
    <n v="0"/>
  </r>
  <r>
    <s v="Certainly True"/>
    <s v="Certainly True"/>
    <x v="1"/>
    <n v="0"/>
    <n v="1"/>
    <n v="2"/>
    <n v="2"/>
    <n v="2"/>
  </r>
  <r>
    <s v="Certainly True"/>
    <s v="Certainly True"/>
    <x v="2"/>
    <n v="0"/>
    <n v="1"/>
    <n v="2"/>
    <n v="2"/>
    <n v="2"/>
  </r>
  <r>
    <s v="Not True"/>
    <s v="Certainly True"/>
    <x v="0"/>
    <n v="0"/>
    <n v="1"/>
    <n v="2"/>
    <n v="0"/>
    <n v="2"/>
  </r>
  <r>
    <s v="Not True"/>
    <s v="Certainly True"/>
    <x v="3"/>
    <n v="0"/>
    <n v="1"/>
    <n v="2"/>
    <n v="0"/>
    <n v="2"/>
  </r>
  <r>
    <s v="Somewhat True"/>
    <s v="Certainly True"/>
    <x v="4"/>
    <n v="0"/>
    <n v="1"/>
    <n v="2"/>
    <n v="1"/>
    <n v="2"/>
  </r>
  <r>
    <s v="Somewhat True"/>
    <s v="Certainly True"/>
    <x v="0"/>
    <n v="0"/>
    <n v="1"/>
    <n v="2"/>
    <n v="1"/>
    <n v="2"/>
  </r>
  <r>
    <s v="Certainly True"/>
    <s v="Certainly True"/>
    <x v="1"/>
    <n v="2"/>
    <n v="1"/>
    <n v="0"/>
    <n v="0"/>
    <n v="0"/>
  </r>
  <r>
    <s v="Certainly True"/>
    <s v="Certainly True"/>
    <x v="3"/>
    <n v="0"/>
    <n v="1"/>
    <n v="2"/>
    <n v="2"/>
    <n v="2"/>
  </r>
  <r>
    <s v="Not True"/>
    <s v="Certainly True"/>
    <x v="4"/>
    <n v="0"/>
    <n v="1"/>
    <n v="2"/>
    <n v="0"/>
    <n v="2"/>
  </r>
  <r>
    <s v="Not True"/>
    <s v="Certainly True"/>
    <x v="2"/>
    <n v="0"/>
    <n v="1"/>
    <n v="2"/>
    <n v="0"/>
    <n v="2"/>
  </r>
  <r>
    <s v="Somewhat True"/>
    <s v="Certainly True"/>
    <x v="1"/>
    <n v="2"/>
    <n v="1"/>
    <n v="0"/>
    <n v="1"/>
    <n v="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s v="Not True"/>
    <s v="Certainly True"/>
    <x v="0"/>
    <n v="0"/>
    <n v="1"/>
    <n v="2"/>
    <n v="0"/>
    <n v="2"/>
  </r>
  <r>
    <s v="Not True"/>
    <s v="Certainly True"/>
    <x v="1"/>
    <n v="0"/>
    <n v="1"/>
    <n v="2"/>
    <n v="0"/>
    <n v="2"/>
  </r>
  <r>
    <s v="Not True"/>
    <s v="Certainly True"/>
    <x v="2"/>
    <n v="0"/>
    <n v="1"/>
    <n v="2"/>
    <n v="0"/>
    <n v="2"/>
  </r>
  <r>
    <s v="Not True"/>
    <s v="Certainly True"/>
    <x v="0"/>
    <n v="0"/>
    <n v="1"/>
    <n v="2"/>
    <n v="0"/>
    <n v="2"/>
  </r>
  <r>
    <s v="Not True"/>
    <s v="Certainly True"/>
    <x v="3"/>
    <n v="0"/>
    <n v="1"/>
    <n v="2"/>
    <n v="0"/>
    <n v="2"/>
  </r>
  <r>
    <s v="Not True"/>
    <s v="Certainly True"/>
    <x v="4"/>
    <n v="0"/>
    <n v="1"/>
    <n v="2"/>
    <n v="0"/>
    <n v="2"/>
  </r>
  <r>
    <s v="Not True"/>
    <s v="Certainly True"/>
    <x v="3"/>
    <n v="2"/>
    <n v="1"/>
    <n v="0"/>
    <n v="2"/>
    <n v="0"/>
  </r>
  <r>
    <s v="Not True"/>
    <s v="Certainly True"/>
    <x v="2"/>
    <n v="0"/>
    <n v="1"/>
    <n v="2"/>
    <n v="0"/>
    <n v="2"/>
  </r>
  <r>
    <s v="Not True"/>
    <s v="Certainly True"/>
    <x v="0"/>
    <n v="0"/>
    <n v="1"/>
    <n v="2"/>
    <n v="0"/>
    <n v="2"/>
  </r>
  <r>
    <s v="SomeWhat True"/>
    <s v="Certainly True"/>
    <x v="1"/>
    <n v="0"/>
    <n v="1"/>
    <n v="2"/>
    <n v="1"/>
    <n v="2"/>
  </r>
  <r>
    <s v="SomeWhat True"/>
    <s v="Certainly True"/>
    <x v="4"/>
    <n v="2"/>
    <n v="1"/>
    <n v="0"/>
    <n v="1"/>
    <n v="0"/>
  </r>
  <r>
    <s v="SomeWhat True"/>
    <s v="Certainly True"/>
    <x v="3"/>
    <n v="0"/>
    <n v="1"/>
    <n v="2"/>
    <n v="1"/>
    <n v="2"/>
  </r>
  <r>
    <s v="SomeWhat True"/>
    <s v="Certainly True"/>
    <x v="2"/>
    <n v="0"/>
    <n v="1"/>
    <n v="2"/>
    <n v="1"/>
    <n v="2"/>
  </r>
  <r>
    <s v="SomeWhat True"/>
    <s v="Certainly True"/>
    <x v="4"/>
    <n v="2"/>
    <n v="1"/>
    <n v="0"/>
    <n v="1"/>
    <n v="0"/>
  </r>
  <r>
    <s v="SomeWhat True"/>
    <s v="Certainly True"/>
    <x v="1"/>
    <n v="0"/>
    <n v="1"/>
    <n v="2"/>
    <n v="1"/>
    <n v="2"/>
  </r>
  <r>
    <s v="SomeWhat True"/>
    <s v="Certainly True"/>
    <x v="2"/>
    <n v="0"/>
    <n v="1"/>
    <n v="2"/>
    <n v="1"/>
    <n v="2"/>
  </r>
  <r>
    <s v="SomeWhat True"/>
    <s v="Certainly True"/>
    <x v="0"/>
    <n v="0"/>
    <n v="1"/>
    <n v="2"/>
    <n v="1"/>
    <n v="2"/>
  </r>
  <r>
    <s v="SomeWhat True"/>
    <s v="Certainly True"/>
    <x v="3"/>
    <n v="0"/>
    <n v="1"/>
    <n v="2"/>
    <n v="1"/>
    <n v="2"/>
  </r>
  <r>
    <s v="SomeWhat True"/>
    <s v="Certainly True"/>
    <x v="4"/>
    <n v="0"/>
    <n v="1"/>
    <n v="2"/>
    <n v="1"/>
    <n v="2"/>
  </r>
  <r>
    <s v="SomeWhat True"/>
    <s v="Certainly True"/>
    <x v="0"/>
    <n v="0"/>
    <n v="1"/>
    <n v="2"/>
    <n v="1"/>
    <n v="2"/>
  </r>
  <r>
    <s v="SomeWhat True"/>
    <s v="Certainly True"/>
    <x v="1"/>
    <n v="2"/>
    <n v="1"/>
    <n v="0"/>
    <n v="1"/>
    <n v="0"/>
  </r>
  <r>
    <s v="Certainly True"/>
    <s v="Certainly True"/>
    <x v="3"/>
    <n v="0"/>
    <n v="1"/>
    <n v="2"/>
    <n v="2"/>
    <n v="2"/>
  </r>
  <r>
    <s v="Certainly True"/>
    <s v="Certainly True"/>
    <x v="4"/>
    <n v="0"/>
    <n v="1"/>
    <n v="2"/>
    <n v="2"/>
    <n v="2"/>
  </r>
  <r>
    <s v="Certainly True"/>
    <s v="Certainly True"/>
    <x v="2"/>
    <n v="0"/>
    <n v="1"/>
    <n v="2"/>
    <n v="2"/>
    <n v="2"/>
  </r>
  <r>
    <s v="Certainly True"/>
    <s v="Certainly True"/>
    <x v="1"/>
    <n v="2"/>
    <n v="1"/>
    <n v="0"/>
    <n v="0"/>
    <n v="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
  <r>
    <s v="Holds up arms to be picked up"/>
    <x v="0"/>
    <n v="0"/>
    <m/>
    <m/>
    <m/>
    <m/>
    <n v="0"/>
  </r>
  <r>
    <s v="Gets into a sitting position by him or herself"/>
    <x v="0"/>
    <n v="0"/>
    <m/>
    <m/>
    <m/>
    <m/>
    <n v="0"/>
  </r>
  <r>
    <s v="Picks up food and eats it"/>
    <x v="0"/>
    <n v="0"/>
    <m/>
    <m/>
    <m/>
    <m/>
    <n v="0"/>
  </r>
  <r>
    <s v="Pulls up to standing"/>
    <x v="0"/>
    <m/>
    <n v="1"/>
    <m/>
    <m/>
    <m/>
    <n v="1"/>
  </r>
  <r>
    <s v="Plays games like 'peek-a-poo' or 'pat-a-cake'"/>
    <x v="0"/>
    <m/>
    <n v="1"/>
    <m/>
    <m/>
    <m/>
    <n v="1"/>
  </r>
  <r>
    <s v="Calls you 'mama' or 'dada' or similar name"/>
    <x v="0"/>
    <m/>
    <n v="1"/>
    <m/>
    <m/>
    <m/>
    <n v="1"/>
  </r>
  <r>
    <s v="Looks around when you say things like 'Where's your bottle?' or 'Where's your blanket?"/>
    <x v="0"/>
    <m/>
    <m/>
    <n v="2"/>
    <m/>
    <m/>
    <n v="2"/>
  </r>
  <r>
    <s v="Copies sounds that you make"/>
    <x v="0"/>
    <m/>
    <m/>
    <n v="2"/>
    <m/>
    <m/>
    <n v="2"/>
  </r>
  <r>
    <s v="Walks across a room without help"/>
    <x v="0"/>
    <m/>
    <m/>
    <n v="2"/>
    <m/>
    <m/>
    <n v="2"/>
  </r>
  <r>
    <s v="Follows directions - like 'Come here' or 'Give me the ball'"/>
    <x v="0"/>
    <m/>
    <n v="1"/>
    <m/>
    <m/>
    <m/>
    <n v="1"/>
  </r>
  <r>
    <s v="Does your child have a hard time being with new people?"/>
    <x v="1"/>
    <m/>
    <n v="1"/>
    <m/>
    <m/>
    <m/>
    <n v="1"/>
  </r>
  <r>
    <s v="Does your child have a hard time in new places?"/>
    <x v="1"/>
    <m/>
    <n v="1"/>
    <m/>
    <m/>
    <m/>
    <n v="1"/>
  </r>
  <r>
    <s v="Does your child have a hard time with change?"/>
    <x v="1"/>
    <m/>
    <n v="1"/>
    <m/>
    <m/>
    <m/>
    <n v="1"/>
  </r>
  <r>
    <s v="Does your child mind being held by other people?"/>
    <x v="1"/>
    <m/>
    <n v="1"/>
    <m/>
    <m/>
    <m/>
    <n v="1"/>
  </r>
  <r>
    <s v="Does your child cry a lot?"/>
    <x v="2"/>
    <m/>
    <n v="1"/>
    <m/>
    <m/>
    <m/>
    <n v="1"/>
  </r>
  <r>
    <s v="Does your child have a hard time calming down?"/>
    <x v="2"/>
    <m/>
    <n v="1"/>
    <m/>
    <m/>
    <m/>
    <n v="1"/>
  </r>
  <r>
    <s v="Is your child fussy or irritable?"/>
    <x v="2"/>
    <m/>
    <n v="1"/>
    <m/>
    <m/>
    <m/>
    <n v="1"/>
  </r>
  <r>
    <s v="Is it hard to comfort your child?"/>
    <x v="2"/>
    <m/>
    <n v="1"/>
    <m/>
    <m/>
    <m/>
    <n v="1"/>
  </r>
  <r>
    <s v="Is it hard to keep your child on a schedule or routine?"/>
    <x v="3"/>
    <m/>
    <m/>
    <n v="2"/>
    <m/>
    <m/>
    <n v="2"/>
  </r>
  <r>
    <s v="Is it hard to put your child to sleep?"/>
    <x v="3"/>
    <m/>
    <m/>
    <n v="2"/>
    <m/>
    <m/>
    <n v="2"/>
  </r>
  <r>
    <s v="Is it hard to get enough sleep because of your child?"/>
    <x v="3"/>
    <m/>
    <m/>
    <n v="2"/>
    <m/>
    <m/>
    <n v="2"/>
  </r>
  <r>
    <s v="Does your child have trouble staying asleep?"/>
    <x v="3"/>
    <m/>
    <m/>
    <n v="2"/>
    <m/>
    <m/>
    <n v="2"/>
  </r>
  <r>
    <s v="Does anyone who lives with child smoke tobacco?"/>
    <x v="4"/>
    <m/>
    <n v="1"/>
    <m/>
    <m/>
    <m/>
    <n v="1"/>
  </r>
  <r>
    <s v="In the last year , have you ever drunk alcohol or used drugs more than you meant to?"/>
    <x v="5"/>
    <m/>
    <n v="1"/>
    <m/>
    <m/>
    <m/>
    <n v="1"/>
  </r>
  <r>
    <s v="Have you felt you wanted or needed to cut down on your drinking or drug use in the last year?"/>
    <x v="5"/>
    <n v="0"/>
    <m/>
    <m/>
    <m/>
    <m/>
    <n v="0"/>
  </r>
  <r>
    <s v="Has a family member's drinking or drug use ever had a bad effect on your child?"/>
    <x v="5"/>
    <n v="0"/>
    <m/>
    <m/>
    <m/>
    <m/>
    <n v="0"/>
  </r>
  <r>
    <s v="Within the past 12 months , we worried whether our food would run out before we got money to buy more"/>
    <x v="6"/>
    <m/>
    <n v="1"/>
    <m/>
    <m/>
    <m/>
    <n v="1"/>
  </r>
  <r>
    <s v="Having little interest or pleasure in doing things?"/>
    <x v="7"/>
    <m/>
    <m/>
    <m/>
    <n v="3"/>
    <m/>
    <n v="3"/>
  </r>
  <r>
    <s v="Feeling down,depressed, or hopeless?"/>
    <x v="7"/>
    <m/>
    <m/>
    <n v="2"/>
    <m/>
    <m/>
    <n v="2"/>
  </r>
  <r>
    <s v="In general , how would you describe your relationship with your spouse/partner?"/>
    <x v="8"/>
    <m/>
    <m/>
    <n v="2"/>
    <m/>
    <m/>
    <n v="2"/>
  </r>
  <r>
    <s v="Do you and your partner work out arguments with:"/>
    <x v="8"/>
    <m/>
    <n v="1"/>
    <m/>
    <m/>
    <m/>
    <n v="1"/>
  </r>
  <r>
    <m/>
    <x v="9"/>
    <m/>
    <m/>
    <m/>
    <m/>
    <m/>
    <m/>
  </r>
  <r>
    <m/>
    <x v="9"/>
    <m/>
    <m/>
    <m/>
    <m/>
    <m/>
    <m/>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s v="Runs"/>
    <x v="0"/>
    <m/>
    <n v="1"/>
    <m/>
    <m/>
    <m/>
    <n v="1"/>
  </r>
  <r>
    <s v="Walks up stairs with help"/>
    <x v="0"/>
    <m/>
    <n v="1"/>
    <m/>
    <m/>
    <m/>
    <n v="1"/>
  </r>
  <r>
    <s v="Kicks a ball"/>
    <x v="0"/>
    <m/>
    <n v="1"/>
    <m/>
    <m/>
    <m/>
    <n v="1"/>
  </r>
  <r>
    <s v="Names at least 5 familiar objects - like ball or milk"/>
    <x v="0"/>
    <m/>
    <n v="1"/>
    <m/>
    <m/>
    <m/>
    <n v="1"/>
  </r>
  <r>
    <s v="Names at least 5 body parts - like nose , hand , or tummy"/>
    <x v="0"/>
    <m/>
    <n v="1"/>
    <m/>
    <m/>
    <m/>
    <n v="1"/>
  </r>
  <r>
    <s v="Climbs up a ladder at a playground"/>
    <x v="0"/>
    <m/>
    <n v="1"/>
    <m/>
    <m/>
    <m/>
    <n v="1"/>
  </r>
  <r>
    <s v="Uses words like 'me' or 'mine'"/>
    <x v="0"/>
    <m/>
    <n v="1"/>
    <m/>
    <m/>
    <m/>
    <n v="1"/>
  </r>
  <r>
    <s v="Jumps off the ground with two feet"/>
    <x v="0"/>
    <m/>
    <m/>
    <n v="2"/>
    <m/>
    <m/>
    <n v="2"/>
  </r>
  <r>
    <s v="Puts 2 or more words together - like 'more water' or 'go outside'"/>
    <x v="0"/>
    <m/>
    <m/>
    <n v="2"/>
    <m/>
    <m/>
    <n v="2"/>
  </r>
  <r>
    <s v="Uses words to ask for help"/>
    <x v="0"/>
    <m/>
    <m/>
    <n v="2"/>
    <m/>
    <m/>
    <n v="2"/>
  </r>
  <r>
    <s v="Does your child seems nervous or afraid?"/>
    <x v="1"/>
    <m/>
    <n v="1"/>
    <m/>
    <m/>
    <m/>
    <n v="1"/>
  </r>
  <r>
    <s v="Does your child seems sad or happy?"/>
    <x v="1"/>
    <m/>
    <m/>
    <n v="2"/>
    <m/>
    <m/>
    <n v="2"/>
  </r>
  <r>
    <s v="Does your get upset if things are not done un a certain way?"/>
    <x v="1"/>
    <m/>
    <n v="1"/>
    <m/>
    <m/>
    <m/>
    <n v="1"/>
  </r>
  <r>
    <s v="Does your child have hard time wth change?"/>
    <x v="1"/>
    <m/>
    <n v="1"/>
    <m/>
    <m/>
    <m/>
    <n v="1"/>
  </r>
  <r>
    <s v="Does your child have trouble playing with other children?"/>
    <x v="1"/>
    <m/>
    <n v="1"/>
    <m/>
    <m/>
    <m/>
    <n v="1"/>
  </r>
  <r>
    <s v="Does your child break things on purpose?"/>
    <x v="1"/>
    <m/>
    <n v="1"/>
    <m/>
    <m/>
    <m/>
    <n v="1"/>
  </r>
  <r>
    <s v="Does your child fight with other children?"/>
    <x v="1"/>
    <n v="0"/>
    <m/>
    <m/>
    <m/>
    <m/>
    <n v="0"/>
  </r>
  <r>
    <s v="Does your child have trouble paying attention?"/>
    <x v="1"/>
    <n v="0"/>
    <m/>
    <m/>
    <m/>
    <m/>
    <n v="0"/>
  </r>
  <r>
    <s v="Does your child have a hard time calming down?"/>
    <x v="1"/>
    <n v="0"/>
    <m/>
    <m/>
    <m/>
    <m/>
    <n v="0"/>
  </r>
  <r>
    <s v="Does your child have trouble staying with one activity?"/>
    <x v="1"/>
    <n v="0"/>
    <m/>
    <m/>
    <m/>
    <m/>
    <n v="0"/>
  </r>
  <r>
    <s v="Is your child aggressive?"/>
    <x v="1"/>
    <n v="0"/>
    <m/>
    <m/>
    <m/>
    <m/>
    <n v="0"/>
  </r>
  <r>
    <s v="Is your child fidgety or unable to sit still?"/>
    <x v="1"/>
    <n v="0"/>
    <m/>
    <m/>
    <m/>
    <m/>
    <n v="0"/>
  </r>
  <r>
    <s v="Is your child angry?"/>
    <x v="1"/>
    <n v="0"/>
    <m/>
    <m/>
    <m/>
    <m/>
    <n v="0"/>
  </r>
  <r>
    <s v="Is it hard to take your child out in public?"/>
    <x v="1"/>
    <n v="0"/>
    <m/>
    <m/>
    <m/>
    <m/>
    <n v="0"/>
  </r>
  <r>
    <s v="Is it hard comfort your child ?"/>
    <x v="1"/>
    <n v="0"/>
    <m/>
    <m/>
    <m/>
    <m/>
    <n v="0"/>
  </r>
  <r>
    <s v="Is it hard to know what your child needs?"/>
    <x v="1"/>
    <n v="0"/>
    <m/>
    <m/>
    <m/>
    <m/>
    <n v="0"/>
  </r>
  <r>
    <s v="Is it hard to keep your child on a schedule or routine"/>
    <x v="1"/>
    <m/>
    <n v="1"/>
    <m/>
    <m/>
    <m/>
    <n v="1"/>
  </r>
  <r>
    <s v="Is it hard to get your child to obey you"/>
    <x v="1"/>
    <m/>
    <n v="1"/>
    <m/>
    <m/>
    <m/>
    <n v="1"/>
  </r>
  <r>
    <s v="Does your child bring things to you to show them to you?"/>
    <x v="2"/>
    <m/>
    <n v="1"/>
    <m/>
    <m/>
    <m/>
    <n v="1"/>
  </r>
  <r>
    <s v="Is your child interested in playing with other children?"/>
    <x v="2"/>
    <m/>
    <n v="1"/>
    <m/>
    <m/>
    <m/>
    <n v="1"/>
  </r>
  <r>
    <s v="When you say a word or wave your hand, will your child try to copy you?"/>
    <x v="2"/>
    <m/>
    <n v="1"/>
    <m/>
    <m/>
    <m/>
    <n v="1"/>
  </r>
  <r>
    <s v="Does your child look at you when you call his or her name?"/>
    <x v="2"/>
    <n v="0"/>
    <m/>
    <m/>
    <m/>
    <m/>
    <n v="0"/>
  </r>
  <r>
    <s v="Does your child look if you point to something across the room?"/>
    <x v="2"/>
    <n v="0"/>
    <m/>
    <m/>
    <m/>
    <m/>
    <n v="0"/>
  </r>
  <r>
    <s v="Does anyone who lives with child smoke tobacco?"/>
    <x v="3"/>
    <m/>
    <n v="1"/>
    <m/>
    <m/>
    <m/>
    <n v="1"/>
  </r>
  <r>
    <s v="In the last year , have you ever drunk alcohol or used drugs more than you meant to?"/>
    <x v="4"/>
    <m/>
    <n v="1"/>
    <m/>
    <m/>
    <m/>
    <n v="1"/>
  </r>
  <r>
    <s v="Have you felt you wanted or needed to cut down on your drinking or drug use in the last year?"/>
    <x v="4"/>
    <m/>
    <n v="1"/>
    <m/>
    <m/>
    <m/>
    <n v="1"/>
  </r>
  <r>
    <s v="Has a family member's drinking or drug use ever had a bad effect on your child?"/>
    <x v="4"/>
    <m/>
    <n v="1"/>
    <m/>
    <m/>
    <m/>
    <n v="1"/>
  </r>
  <r>
    <s v="Within the past 12 months , we worried whether our food would run out before we got money to buy more"/>
    <x v="5"/>
    <m/>
    <n v="1"/>
    <m/>
    <m/>
    <m/>
    <n v="1"/>
  </r>
  <r>
    <s v="Having little interest or pleasure in doing things?"/>
    <x v="6"/>
    <m/>
    <m/>
    <n v="2"/>
    <m/>
    <m/>
    <n v="2"/>
  </r>
  <r>
    <s v="Feeling down,depressed, or hopeless?"/>
    <x v="6"/>
    <m/>
    <n v="1"/>
    <m/>
    <m/>
    <m/>
    <n v="1"/>
  </r>
  <r>
    <s v="In general , how would you describe your relationship with your spouse/partner?"/>
    <x v="7"/>
    <m/>
    <n v="1"/>
    <m/>
    <m/>
    <m/>
    <n v="1"/>
  </r>
  <r>
    <s v="Do you and your partner work out arguments with:"/>
    <x v="7"/>
    <m/>
    <n v="1"/>
    <m/>
    <m/>
    <m/>
    <n v="1"/>
  </r>
  <r>
    <m/>
    <x v="8"/>
    <m/>
    <m/>
    <m/>
    <m/>
    <m/>
    <m/>
  </r>
  <r>
    <m/>
    <x v="8"/>
    <m/>
    <m/>
    <m/>
    <m/>
    <m/>
    <m/>
  </r>
  <r>
    <m/>
    <x v="8"/>
    <m/>
    <m/>
    <m/>
    <m/>
    <m/>
    <m/>
  </r>
  <r>
    <m/>
    <x v="8"/>
    <m/>
    <m/>
    <m/>
    <m/>
    <m/>
    <m/>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
  <r>
    <s v="Names at least 5 body parts - like nose , hand , or tummy"/>
    <x v="0"/>
    <m/>
    <m/>
    <n v="2"/>
    <m/>
    <m/>
    <n v="2"/>
  </r>
  <r>
    <s v="Climbs up a ladder at a playground"/>
    <x v="0"/>
    <m/>
    <n v="1"/>
    <m/>
    <m/>
    <m/>
    <n v="1"/>
  </r>
  <r>
    <s v="Uses words like 'me' or 'mine'"/>
    <x v="0"/>
    <m/>
    <n v="1"/>
    <m/>
    <m/>
    <m/>
    <n v="1"/>
  </r>
  <r>
    <s v="Jumps off the ground with two feet"/>
    <x v="0"/>
    <m/>
    <n v="1"/>
    <m/>
    <m/>
    <m/>
    <n v="1"/>
  </r>
  <r>
    <s v="Puts 2 or more words together - like 'more water' or 'go outside'"/>
    <x v="0"/>
    <m/>
    <n v="1"/>
    <m/>
    <m/>
    <m/>
    <n v="1"/>
  </r>
  <r>
    <s v="Uses words to ask for help"/>
    <x v="0"/>
    <m/>
    <n v="1"/>
    <m/>
    <m/>
    <m/>
    <n v="1"/>
  </r>
  <r>
    <s v="Names at least one color"/>
    <x v="0"/>
    <m/>
    <n v="1"/>
    <m/>
    <m/>
    <m/>
    <n v="1"/>
  </r>
  <r>
    <s v="Tries to get you to watch by saying 'Look at me'"/>
    <x v="0"/>
    <m/>
    <m/>
    <n v="2"/>
    <m/>
    <m/>
    <n v="2"/>
  </r>
  <r>
    <s v="Says his or her first name when asked"/>
    <x v="0"/>
    <m/>
    <m/>
    <n v="2"/>
    <m/>
    <m/>
    <n v="2"/>
  </r>
  <r>
    <s v="Draws lines"/>
    <x v="0"/>
    <m/>
    <n v="1"/>
    <m/>
    <m/>
    <m/>
    <n v="1"/>
  </r>
  <r>
    <s v="Does your child seems nervous or afraid?"/>
    <x v="1"/>
    <m/>
    <n v="1"/>
    <m/>
    <m/>
    <m/>
    <n v="1"/>
  </r>
  <r>
    <s v="Does your child seems sad or happy?"/>
    <x v="1"/>
    <m/>
    <n v="1"/>
    <m/>
    <m/>
    <m/>
    <n v="1"/>
  </r>
  <r>
    <s v="Does your get upset if things are not done un a certain way?"/>
    <x v="1"/>
    <m/>
    <n v="1"/>
    <m/>
    <m/>
    <m/>
    <n v="1"/>
  </r>
  <r>
    <s v="Does your child have hard time wth change?"/>
    <x v="1"/>
    <m/>
    <n v="1"/>
    <m/>
    <m/>
    <m/>
    <n v="1"/>
  </r>
  <r>
    <s v="Does your child have trouble playing with other children?"/>
    <x v="1"/>
    <m/>
    <n v="1"/>
    <m/>
    <m/>
    <m/>
    <n v="1"/>
  </r>
  <r>
    <s v="Does your child break things on purpose?"/>
    <x v="1"/>
    <m/>
    <n v="1"/>
    <m/>
    <m/>
    <m/>
    <n v="1"/>
  </r>
  <r>
    <s v="Does your child fight with other children?"/>
    <x v="1"/>
    <m/>
    <n v="1"/>
    <m/>
    <m/>
    <m/>
    <n v="1"/>
  </r>
  <r>
    <s v="Does your child have trouble paying attention?"/>
    <x v="1"/>
    <m/>
    <n v="1"/>
    <m/>
    <m/>
    <m/>
    <n v="1"/>
  </r>
  <r>
    <s v="Does your child have a hard time calming down?"/>
    <x v="1"/>
    <m/>
    <n v="1"/>
    <m/>
    <m/>
    <m/>
    <n v="1"/>
  </r>
  <r>
    <s v="Does your child have trouble staying with one activity?"/>
    <x v="1"/>
    <m/>
    <n v="1"/>
    <m/>
    <m/>
    <m/>
    <n v="1"/>
  </r>
  <r>
    <s v="Is your child aggressive?"/>
    <x v="1"/>
    <m/>
    <n v="1"/>
    <m/>
    <m/>
    <m/>
    <n v="1"/>
  </r>
  <r>
    <s v="Is your child fidgety or unable to sit still?"/>
    <x v="1"/>
    <m/>
    <n v="1"/>
    <m/>
    <m/>
    <m/>
    <n v="1"/>
  </r>
  <r>
    <s v="Is your child angry?"/>
    <x v="1"/>
    <m/>
    <n v="1"/>
    <m/>
    <m/>
    <m/>
    <n v="1"/>
  </r>
  <r>
    <s v="Is it hard to take your child out in public?"/>
    <x v="1"/>
    <m/>
    <n v="1"/>
    <m/>
    <m/>
    <m/>
    <n v="1"/>
  </r>
  <r>
    <s v="Is it hard comfort your child ?"/>
    <x v="1"/>
    <m/>
    <n v="1"/>
    <m/>
    <m/>
    <m/>
    <n v="1"/>
  </r>
  <r>
    <s v="Is it hard to know what your child needs?"/>
    <x v="1"/>
    <m/>
    <n v="1"/>
    <m/>
    <m/>
    <m/>
    <n v="1"/>
  </r>
  <r>
    <s v="Is it hard to keep your child on a schedule or routine"/>
    <x v="1"/>
    <m/>
    <n v="1"/>
    <m/>
    <m/>
    <m/>
    <n v="1"/>
  </r>
  <r>
    <s v="Is it hard to get your child to obey you"/>
    <x v="1"/>
    <m/>
    <n v="1"/>
    <m/>
    <m/>
    <m/>
    <n v="1"/>
  </r>
  <r>
    <s v="Does your child bring things to you to show them to you?"/>
    <x v="2"/>
    <m/>
    <n v="1"/>
    <m/>
    <m/>
    <m/>
    <n v="1"/>
  </r>
  <r>
    <s v="Is your child interested in playing with other children?"/>
    <x v="2"/>
    <m/>
    <n v="1"/>
    <m/>
    <m/>
    <m/>
    <n v="1"/>
  </r>
  <r>
    <s v="When you say a word or wave your hand, will your child try to copy you?"/>
    <x v="2"/>
    <m/>
    <n v="1"/>
    <m/>
    <m/>
    <m/>
    <n v="1"/>
  </r>
  <r>
    <s v="Does your child look at you when you call his or her name?"/>
    <x v="2"/>
    <m/>
    <n v="1"/>
    <m/>
    <m/>
    <m/>
    <n v="1"/>
  </r>
  <r>
    <s v="Does your child look if you point to something across the room?"/>
    <x v="2"/>
    <m/>
    <n v="1"/>
    <m/>
    <m/>
    <m/>
    <n v="1"/>
  </r>
  <r>
    <s v="Does anyone who lives with child smoke tobacco?"/>
    <x v="3"/>
    <n v="0"/>
    <m/>
    <m/>
    <m/>
    <m/>
    <n v="0"/>
  </r>
  <r>
    <s v="In the last year , have you ever drunk alcohol or used drugs more than you meant to?"/>
    <x v="4"/>
    <m/>
    <n v="1"/>
    <m/>
    <m/>
    <m/>
    <n v="1"/>
  </r>
  <r>
    <s v="Have you felt you wanted or needed to cut down on your drinking or drug use in the last year?"/>
    <x v="4"/>
    <n v="0"/>
    <m/>
    <m/>
    <m/>
    <m/>
    <n v="0"/>
  </r>
  <r>
    <s v="Has a family member's drinking or drug use ever had a bad effect on your child?"/>
    <x v="4"/>
    <n v="0"/>
    <m/>
    <m/>
    <m/>
    <m/>
    <n v="0"/>
  </r>
  <r>
    <s v="Within the past 12 months , we worried whether our food would run out before we got money to buy more"/>
    <x v="5"/>
    <m/>
    <n v="1"/>
    <m/>
    <m/>
    <m/>
    <n v="1"/>
  </r>
  <r>
    <s v="Having little interest or pleasure in doing things?"/>
    <x v="6"/>
    <m/>
    <n v="1"/>
    <m/>
    <m/>
    <m/>
    <n v="1"/>
  </r>
  <r>
    <s v="Feeling down,depressed, or hopeless?"/>
    <x v="6"/>
    <m/>
    <m/>
    <n v="2"/>
    <m/>
    <m/>
    <n v="2"/>
  </r>
  <r>
    <s v="In general , how would you describe your relationship with your spouse/partner?"/>
    <x v="7"/>
    <m/>
    <m/>
    <m/>
    <m/>
    <s v="NA"/>
    <n v="0"/>
  </r>
  <r>
    <s v="Do you and your partner work out arguments with:"/>
    <x v="7"/>
    <m/>
    <m/>
    <m/>
    <m/>
    <s v="NA"/>
    <n v="0"/>
  </r>
  <r>
    <m/>
    <x v="8"/>
    <m/>
    <m/>
    <m/>
    <m/>
    <m/>
    <m/>
  </r>
  <r>
    <m/>
    <x v="8"/>
    <m/>
    <m/>
    <m/>
    <m/>
    <m/>
    <m/>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
  <r>
    <s v="Names at least one color"/>
    <x v="0"/>
    <m/>
    <m/>
    <n v="2"/>
    <m/>
    <m/>
    <n v="2"/>
  </r>
  <r>
    <s v="Tries to get you to watch by saying 'Look at me'"/>
    <x v="0"/>
    <m/>
    <m/>
    <n v="2"/>
    <m/>
    <m/>
    <n v="2"/>
  </r>
  <r>
    <s v="Says his or her first name when asked"/>
    <x v="0"/>
    <m/>
    <m/>
    <n v="2"/>
    <m/>
    <m/>
    <n v="2"/>
  </r>
  <r>
    <s v="Draws lines"/>
    <x v="0"/>
    <m/>
    <m/>
    <n v="2"/>
    <m/>
    <m/>
    <n v="2"/>
  </r>
  <r>
    <s v="Talks so other people can understand him or her most of the time"/>
    <x v="0"/>
    <m/>
    <m/>
    <n v="2"/>
    <m/>
    <m/>
    <n v="2"/>
  </r>
  <r>
    <s v="Washes and dries hands without help (even if you turn on the water)"/>
    <x v="0"/>
    <m/>
    <m/>
    <n v="2"/>
    <m/>
    <m/>
    <n v="2"/>
  </r>
  <r>
    <s v="Asks questions beginning with 'why' or 'how' like 'Why no cookie?'"/>
    <x v="0"/>
    <m/>
    <m/>
    <n v="2"/>
    <m/>
    <m/>
    <n v="2"/>
  </r>
  <r>
    <s v="Explains the reasons for things, like needing a sweater when it's cold"/>
    <x v="0"/>
    <m/>
    <n v="1"/>
    <m/>
    <m/>
    <m/>
    <n v="1"/>
  </r>
  <r>
    <s v="Compares things using words like 'bigger' or 'shorter'"/>
    <x v="0"/>
    <m/>
    <m/>
    <n v="2"/>
    <m/>
    <m/>
    <n v="2"/>
  </r>
  <r>
    <s v="Answers questions like 'What do you do when you are cold?' or '«when you are sleepy?'"/>
    <x v="0"/>
    <m/>
    <n v="1"/>
    <m/>
    <m/>
    <m/>
    <n v="1"/>
  </r>
  <r>
    <s v="Does your child seems nervous or afraid?"/>
    <x v="1"/>
    <m/>
    <n v="1"/>
    <m/>
    <m/>
    <m/>
    <n v="1"/>
  </r>
  <r>
    <s v="Does your child seems sad or happy?"/>
    <x v="1"/>
    <m/>
    <n v="1"/>
    <m/>
    <m/>
    <m/>
    <n v="1"/>
  </r>
  <r>
    <s v="Does your get upset if things are not done un a certain way?"/>
    <x v="1"/>
    <m/>
    <n v="1"/>
    <m/>
    <m/>
    <m/>
    <n v="1"/>
  </r>
  <r>
    <s v="Does your child have hard time wth change?"/>
    <x v="1"/>
    <m/>
    <n v="1"/>
    <m/>
    <m/>
    <m/>
    <n v="1"/>
  </r>
  <r>
    <s v="Does your child have trouble playing with other children?"/>
    <x v="1"/>
    <m/>
    <n v="1"/>
    <m/>
    <m/>
    <m/>
    <n v="1"/>
  </r>
  <r>
    <s v="Does your child break things on purpose?"/>
    <x v="1"/>
    <m/>
    <n v="1"/>
    <m/>
    <m/>
    <m/>
    <n v="1"/>
  </r>
  <r>
    <s v="Does your child fight with other children?"/>
    <x v="1"/>
    <m/>
    <n v="1"/>
    <m/>
    <m/>
    <m/>
    <n v="1"/>
  </r>
  <r>
    <s v="Does your child have trouble paying attention?"/>
    <x v="1"/>
    <m/>
    <n v="1"/>
    <m/>
    <m/>
    <m/>
    <n v="1"/>
  </r>
  <r>
    <s v="Does your child have a hard time calming down?"/>
    <x v="1"/>
    <m/>
    <n v="1"/>
    <m/>
    <m/>
    <m/>
    <n v="1"/>
  </r>
  <r>
    <s v="Does your child have trouble staying with one activity?"/>
    <x v="1"/>
    <m/>
    <n v="1"/>
    <m/>
    <m/>
    <m/>
    <n v="1"/>
  </r>
  <r>
    <s v="Is your child aggressive?"/>
    <x v="1"/>
    <m/>
    <n v="1"/>
    <m/>
    <m/>
    <m/>
    <n v="1"/>
  </r>
  <r>
    <s v="Is your child fidgety or unable to sit still?"/>
    <x v="1"/>
    <m/>
    <n v="1"/>
    <m/>
    <m/>
    <m/>
    <n v="1"/>
  </r>
  <r>
    <s v="Is your child angry?"/>
    <x v="1"/>
    <m/>
    <n v="1"/>
    <m/>
    <m/>
    <m/>
    <n v="1"/>
  </r>
  <r>
    <s v="Is it hard to take your child out in public?"/>
    <x v="1"/>
    <m/>
    <n v="1"/>
    <m/>
    <m/>
    <m/>
    <n v="1"/>
  </r>
  <r>
    <s v="Is it hard comfort your child ?"/>
    <x v="1"/>
    <m/>
    <n v="1"/>
    <m/>
    <m/>
    <m/>
    <n v="1"/>
  </r>
  <r>
    <s v="Is it hard to know what your child needs?"/>
    <x v="1"/>
    <m/>
    <m/>
    <n v="2"/>
    <m/>
    <m/>
    <n v="2"/>
  </r>
  <r>
    <s v="Is it hard to keep your child on a schedule or routine"/>
    <x v="1"/>
    <m/>
    <m/>
    <n v="2"/>
    <m/>
    <m/>
    <n v="2"/>
  </r>
  <r>
    <s v="Is it hard to get your child to obey you"/>
    <x v="1"/>
    <m/>
    <m/>
    <n v="2"/>
    <m/>
    <m/>
    <n v="2"/>
  </r>
  <r>
    <s v="Does your child bring things to you to show them to you?"/>
    <x v="2"/>
    <n v="0"/>
    <m/>
    <m/>
    <m/>
    <m/>
    <n v="0"/>
  </r>
  <r>
    <s v="Is your child interested in playing with other children?"/>
    <x v="2"/>
    <n v="0"/>
    <m/>
    <m/>
    <m/>
    <m/>
    <n v="0"/>
  </r>
  <r>
    <s v="When you say a word or wave your hand, will your child try to copy you?"/>
    <x v="2"/>
    <n v="0"/>
    <m/>
    <m/>
    <m/>
    <m/>
    <n v="0"/>
  </r>
  <r>
    <s v="Does your child look at you when you call his or her name?"/>
    <x v="2"/>
    <m/>
    <n v="1"/>
    <m/>
    <m/>
    <m/>
    <n v="1"/>
  </r>
  <r>
    <s v="Does your child look if you point to something across the room?"/>
    <x v="2"/>
    <m/>
    <n v="1"/>
    <m/>
    <m/>
    <m/>
    <n v="1"/>
  </r>
  <r>
    <s v="Does anyone who lives with child smoke tobacco?"/>
    <x v="3"/>
    <n v="0"/>
    <m/>
    <m/>
    <m/>
    <m/>
    <n v="0"/>
  </r>
  <r>
    <s v="In the last year , have you ever drunk alcohol or used drugs more than you meant to?"/>
    <x v="4"/>
    <m/>
    <n v="1"/>
    <m/>
    <m/>
    <m/>
    <n v="1"/>
  </r>
  <r>
    <s v="Have you felt you wanted or needed to cut down on your drinking or drug use in the last year?"/>
    <x v="4"/>
    <m/>
    <n v="1"/>
    <m/>
    <m/>
    <m/>
    <n v="1"/>
  </r>
  <r>
    <s v="Has a family member's drinking or drug use ever had a bad effect on your child?"/>
    <x v="4"/>
    <m/>
    <n v="1"/>
    <m/>
    <m/>
    <m/>
    <n v="1"/>
  </r>
  <r>
    <s v="Within the past 12 months , we worried whether our food would run out before we got money to buy more"/>
    <x v="5"/>
    <m/>
    <n v="1"/>
    <m/>
    <m/>
    <m/>
    <n v="1"/>
  </r>
  <r>
    <s v="Having little interest or pleasure in doing things?"/>
    <x v="6"/>
    <m/>
    <m/>
    <n v="2"/>
    <m/>
    <m/>
    <n v="2"/>
  </r>
  <r>
    <s v="Feeling down,depressed, or hopeless?"/>
    <x v="6"/>
    <m/>
    <m/>
    <n v="2"/>
    <m/>
    <m/>
    <n v="2"/>
  </r>
  <r>
    <s v="In general , how would you describe your relationship with your spouse/partner?"/>
    <x v="7"/>
    <m/>
    <n v="1"/>
    <m/>
    <m/>
    <m/>
    <n v="1"/>
  </r>
  <r>
    <s v="Do you and your partner work out arguments with:"/>
    <x v="7"/>
    <m/>
    <m/>
    <n v="2"/>
    <m/>
    <m/>
    <n v="2"/>
  </r>
  <r>
    <m/>
    <x v="8"/>
    <m/>
    <m/>
    <m/>
    <m/>
    <m/>
    <m/>
  </r>
  <r>
    <m/>
    <x v="8"/>
    <m/>
    <m/>
    <m/>
    <m/>
    <m/>
    <m/>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
  <r>
    <s v="Talks so other people can understand him or her most of the time"/>
    <x v="0"/>
    <m/>
    <n v="1"/>
    <m/>
    <m/>
    <m/>
    <n v="1"/>
  </r>
  <r>
    <s v="Washes and dries hands without help (even if you turn on the water)"/>
    <x v="0"/>
    <m/>
    <n v="1"/>
    <m/>
    <m/>
    <m/>
    <n v="1"/>
  </r>
  <r>
    <s v="Asks questions beginning with 'why' or 'how' like 'Why no cookie?'"/>
    <x v="0"/>
    <m/>
    <n v="1"/>
    <m/>
    <m/>
    <m/>
    <n v="1"/>
  </r>
  <r>
    <s v="Explains the reasons for things, like needing a sweater when it's cold"/>
    <x v="0"/>
    <n v="0"/>
    <m/>
    <m/>
    <m/>
    <m/>
    <n v="0"/>
  </r>
  <r>
    <s v="Compares things using words like 'bigger' or 'shorter'"/>
    <x v="0"/>
    <m/>
    <n v="1"/>
    <m/>
    <m/>
    <m/>
    <n v="1"/>
  </r>
  <r>
    <s v="Answers questions like 'What do you do when you are cold?' or '«when you are sleepy?'"/>
    <x v="0"/>
    <n v="0"/>
    <m/>
    <m/>
    <m/>
    <m/>
    <n v="0"/>
  </r>
  <r>
    <s v="Tells you a story from a book or tv"/>
    <x v="0"/>
    <m/>
    <n v="1"/>
    <m/>
    <m/>
    <m/>
    <n v="1"/>
  </r>
  <r>
    <s v="Draws simple shapes - like a circle or a square"/>
    <x v="0"/>
    <m/>
    <n v="1"/>
    <m/>
    <m/>
    <m/>
    <n v="1"/>
  </r>
  <r>
    <s v="Says words like 'feet' for more than one foot and 'men' for more than one man"/>
    <x v="0"/>
    <n v="0"/>
    <m/>
    <m/>
    <m/>
    <m/>
    <n v="0"/>
  </r>
  <r>
    <s v="Uses words like 'yesterday' and 'tomorrow' correctly"/>
    <x v="0"/>
    <m/>
    <n v="1"/>
    <m/>
    <m/>
    <m/>
    <n v="1"/>
  </r>
  <r>
    <s v="Does your child seems nervous or afraid?"/>
    <x v="1"/>
    <m/>
    <n v="1"/>
    <m/>
    <m/>
    <m/>
    <n v="1"/>
  </r>
  <r>
    <s v="Does your child seems sad or happy?"/>
    <x v="1"/>
    <m/>
    <n v="1"/>
    <m/>
    <m/>
    <m/>
    <n v="1"/>
  </r>
  <r>
    <s v="Does your get upset if things are not done un a certain way?"/>
    <x v="1"/>
    <m/>
    <n v="1"/>
    <m/>
    <m/>
    <m/>
    <n v="1"/>
  </r>
  <r>
    <s v="Does your child have hard time wth change?"/>
    <x v="1"/>
    <m/>
    <n v="1"/>
    <m/>
    <m/>
    <m/>
    <n v="1"/>
  </r>
  <r>
    <s v="Does your child have trouble playing with other children?"/>
    <x v="1"/>
    <m/>
    <n v="1"/>
    <m/>
    <m/>
    <m/>
    <n v="1"/>
  </r>
  <r>
    <s v="Does your child break things on purpose?"/>
    <x v="1"/>
    <m/>
    <n v="1"/>
    <m/>
    <m/>
    <m/>
    <n v="1"/>
  </r>
  <r>
    <s v="Does your child fight with other children?"/>
    <x v="1"/>
    <m/>
    <n v="1"/>
    <m/>
    <m/>
    <m/>
    <n v="1"/>
  </r>
  <r>
    <s v="Does your child have trouble paying attention?"/>
    <x v="1"/>
    <m/>
    <n v="1"/>
    <m/>
    <m/>
    <m/>
    <n v="1"/>
  </r>
  <r>
    <s v="Does your child have a hard time calming down?"/>
    <x v="1"/>
    <m/>
    <n v="1"/>
    <m/>
    <m/>
    <m/>
    <n v="1"/>
  </r>
  <r>
    <s v="Does your child have trouble staying with one activity?"/>
    <x v="1"/>
    <m/>
    <n v="1"/>
    <m/>
    <m/>
    <m/>
    <n v="1"/>
  </r>
  <r>
    <s v="Is your child aggressive?"/>
    <x v="1"/>
    <m/>
    <n v="1"/>
    <m/>
    <m/>
    <m/>
    <n v="1"/>
  </r>
  <r>
    <s v="Is your child fidgety or unable to sit still?"/>
    <x v="1"/>
    <m/>
    <n v="1"/>
    <m/>
    <m/>
    <m/>
    <n v="1"/>
  </r>
  <r>
    <s v="Is your child angry?"/>
    <x v="1"/>
    <m/>
    <n v="1"/>
    <m/>
    <m/>
    <m/>
    <n v="1"/>
  </r>
  <r>
    <s v="Is it hard to take your child out in public?"/>
    <x v="1"/>
    <m/>
    <n v="1"/>
    <m/>
    <m/>
    <m/>
    <n v="1"/>
  </r>
  <r>
    <s v="Is it hard comfort your child ?"/>
    <x v="1"/>
    <m/>
    <n v="1"/>
    <m/>
    <m/>
    <m/>
    <n v="1"/>
  </r>
  <r>
    <s v="Is it hard to know what your child needs?"/>
    <x v="1"/>
    <m/>
    <n v="1"/>
    <m/>
    <m/>
    <m/>
    <n v="1"/>
  </r>
  <r>
    <s v="Is it hard to keep your child on a schedule or routine"/>
    <x v="1"/>
    <m/>
    <n v="1"/>
    <m/>
    <m/>
    <m/>
    <n v="1"/>
  </r>
  <r>
    <s v="Is it hard to get your child to obey you"/>
    <x v="1"/>
    <m/>
    <n v="1"/>
    <m/>
    <m/>
    <m/>
    <n v="1"/>
  </r>
  <r>
    <s v="Does anyone who lives with child smoke tobacco?"/>
    <x v="2"/>
    <m/>
    <n v="1"/>
    <m/>
    <m/>
    <m/>
    <n v="1"/>
  </r>
  <r>
    <s v="In the last year , have you ever drunk alcohol or used drugs more than you meant to?"/>
    <x v="3"/>
    <m/>
    <n v="1"/>
    <m/>
    <m/>
    <m/>
    <n v="1"/>
  </r>
  <r>
    <s v="Have you felt you wanted or needed to cut down on your drinking or drug use in the last year?"/>
    <x v="3"/>
    <m/>
    <n v="1"/>
    <m/>
    <m/>
    <m/>
    <n v="1"/>
  </r>
  <r>
    <s v="Has a family member's drinking or drug use ever had a bad effect on your child?"/>
    <x v="3"/>
    <m/>
    <n v="1"/>
    <m/>
    <m/>
    <m/>
    <n v="1"/>
  </r>
  <r>
    <s v="Within the past 12 months , we worried whether our food would run out before we got money to buy more"/>
    <x v="4"/>
    <m/>
    <n v="1"/>
    <m/>
    <m/>
    <m/>
    <n v="1"/>
  </r>
  <r>
    <s v="Having little interest or pleasure in doing things?"/>
    <x v="5"/>
    <m/>
    <m/>
    <n v="2"/>
    <m/>
    <m/>
    <n v="2"/>
  </r>
  <r>
    <s v="Feeling down,depressed, or hopeless?"/>
    <x v="5"/>
    <m/>
    <m/>
    <n v="2"/>
    <m/>
    <m/>
    <n v="2"/>
  </r>
  <r>
    <s v="In general , how would you describe your relationship with your spouse/partner?"/>
    <x v="6"/>
    <m/>
    <n v="1"/>
    <m/>
    <m/>
    <m/>
    <n v="1"/>
  </r>
  <r>
    <s v="Do you and your partner work out arguments with:"/>
    <x v="6"/>
    <m/>
    <n v="1"/>
    <m/>
    <m/>
    <m/>
    <n v="1"/>
  </r>
  <r>
    <m/>
    <x v="7"/>
    <m/>
    <m/>
    <m/>
    <m/>
    <m/>
    <m/>
  </r>
  <r>
    <m/>
    <x v="7"/>
    <m/>
    <m/>
    <m/>
    <m/>
    <m/>
    <m/>
  </r>
  <r>
    <m/>
    <x v="7"/>
    <m/>
    <m/>
    <m/>
    <m/>
    <m/>
    <m/>
  </r>
  <r>
    <m/>
    <x v="7"/>
    <m/>
    <m/>
    <m/>
    <m/>
    <m/>
    <m/>
  </r>
  <r>
    <m/>
    <x v="7"/>
    <m/>
    <m/>
    <m/>
    <m/>
    <m/>
    <m/>
  </r>
  <r>
    <m/>
    <x v="7"/>
    <m/>
    <m/>
    <m/>
    <m/>
    <m/>
    <m/>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
  <r>
    <s v="Compares things using words like 'bigger' or 'shorter'"/>
    <x v="0"/>
    <m/>
    <n v="1"/>
    <m/>
    <m/>
    <m/>
    <n v="1"/>
  </r>
  <r>
    <s v="Answers questions like 'What do you do when you are cold?' or '«when you are sleepy?'"/>
    <x v="0"/>
    <m/>
    <n v="1"/>
    <m/>
    <m/>
    <m/>
    <n v="1"/>
  </r>
  <r>
    <s v="Tells you a story from a book or tv"/>
    <x v="0"/>
    <m/>
    <n v="1"/>
    <m/>
    <m/>
    <m/>
    <n v="1"/>
  </r>
  <r>
    <s v="Draws simple shapes - like a circle or a square"/>
    <x v="0"/>
    <m/>
    <n v="1"/>
    <m/>
    <m/>
    <m/>
    <n v="1"/>
  </r>
  <r>
    <s v="Says words like 'feet' for more than one foot and 'men' for more than one man"/>
    <x v="0"/>
    <m/>
    <n v="1"/>
    <m/>
    <m/>
    <m/>
    <n v="1"/>
  </r>
  <r>
    <s v="Uses words like 'yesterday' and 'tomorrow' correctly"/>
    <x v="0"/>
    <m/>
    <n v="1"/>
    <m/>
    <m/>
    <m/>
    <n v="1"/>
  </r>
  <r>
    <s v="Stays dry all night"/>
    <x v="0"/>
    <m/>
    <n v="1"/>
    <m/>
    <m/>
    <m/>
    <n v="1"/>
  </r>
  <r>
    <s v="Follows simple rules when playing a board game or card game"/>
    <x v="0"/>
    <m/>
    <n v="1"/>
    <m/>
    <m/>
    <m/>
    <n v="1"/>
  </r>
  <r>
    <s v="Prints his or her name"/>
    <x v="0"/>
    <n v="0"/>
    <m/>
    <m/>
    <m/>
    <m/>
    <n v="0"/>
  </r>
  <r>
    <s v="Draws picture you recognize"/>
    <x v="0"/>
    <n v="0"/>
    <m/>
    <m/>
    <m/>
    <m/>
    <n v="0"/>
  </r>
  <r>
    <s v="Does your child seems nervous or afraid?"/>
    <x v="1"/>
    <m/>
    <n v="1"/>
    <m/>
    <m/>
    <m/>
    <n v="1"/>
  </r>
  <r>
    <s v="Does your child seems sad or happy?"/>
    <x v="1"/>
    <m/>
    <n v="1"/>
    <m/>
    <m/>
    <m/>
    <n v="1"/>
  </r>
  <r>
    <s v="Does your get upset if things are not done un a certain way?"/>
    <x v="1"/>
    <m/>
    <n v="1"/>
    <m/>
    <m/>
    <m/>
    <n v="1"/>
  </r>
  <r>
    <s v="Does your child have hard time wth change?"/>
    <x v="1"/>
    <m/>
    <n v="1"/>
    <m/>
    <m/>
    <m/>
    <n v="1"/>
  </r>
  <r>
    <s v="Does your child have trouble playing with other children?"/>
    <x v="1"/>
    <n v="0"/>
    <m/>
    <m/>
    <m/>
    <m/>
    <n v="0"/>
  </r>
  <r>
    <s v="Does your child break things on purpose?"/>
    <x v="1"/>
    <n v="0"/>
    <m/>
    <m/>
    <m/>
    <m/>
    <n v="0"/>
  </r>
  <r>
    <s v="Does your child fight with other children?"/>
    <x v="1"/>
    <n v="0"/>
    <m/>
    <m/>
    <m/>
    <m/>
    <n v="0"/>
  </r>
  <r>
    <s v="Does your child have trouble paying attention?"/>
    <x v="1"/>
    <n v="0"/>
    <m/>
    <m/>
    <m/>
    <m/>
    <n v="0"/>
  </r>
  <r>
    <s v="Does your child have a hard time calming down?"/>
    <x v="1"/>
    <n v="0"/>
    <m/>
    <m/>
    <m/>
    <m/>
    <n v="0"/>
  </r>
  <r>
    <s v="Does your child have trouble staying with one activity?"/>
    <x v="1"/>
    <n v="0"/>
    <m/>
    <m/>
    <m/>
    <m/>
    <n v="0"/>
  </r>
  <r>
    <s v="Is your child aggressive?"/>
    <x v="1"/>
    <n v="0"/>
    <m/>
    <m/>
    <m/>
    <m/>
    <n v="0"/>
  </r>
  <r>
    <s v="Is your child fidgety or unable to sit still?"/>
    <x v="1"/>
    <m/>
    <m/>
    <n v="2"/>
    <m/>
    <m/>
    <n v="2"/>
  </r>
  <r>
    <s v="Is your child angry?"/>
    <x v="1"/>
    <m/>
    <m/>
    <n v="2"/>
    <m/>
    <m/>
    <n v="2"/>
  </r>
  <r>
    <s v="Is it hard to take your child out in public?"/>
    <x v="1"/>
    <m/>
    <m/>
    <n v="2"/>
    <m/>
    <m/>
    <n v="2"/>
  </r>
  <r>
    <s v="Is it hard comfort your child ?"/>
    <x v="1"/>
    <m/>
    <m/>
    <n v="2"/>
    <m/>
    <m/>
    <n v="2"/>
  </r>
  <r>
    <s v="Is it hard to know what your child needs?"/>
    <x v="1"/>
    <m/>
    <m/>
    <n v="2"/>
    <m/>
    <m/>
    <n v="2"/>
  </r>
  <r>
    <s v="Is it hard to keep your child on a schedule or routine"/>
    <x v="1"/>
    <m/>
    <m/>
    <n v="2"/>
    <m/>
    <m/>
    <n v="2"/>
  </r>
  <r>
    <s v="Is it hard to get your child to obey you"/>
    <x v="1"/>
    <m/>
    <m/>
    <n v="2"/>
    <m/>
    <m/>
    <n v="2"/>
  </r>
  <r>
    <s v="Does anyone who lives with child smoke tobacco?"/>
    <x v="2"/>
    <m/>
    <n v="1"/>
    <m/>
    <m/>
    <m/>
    <n v="1"/>
  </r>
  <r>
    <s v="In the last year , have you ever drunk alcohol or used drugs more than you meant to?"/>
    <x v="3"/>
    <m/>
    <n v="1"/>
    <m/>
    <m/>
    <m/>
    <n v="1"/>
  </r>
  <r>
    <s v="Have you felt you wanted or needed to cut down on your drinking or drug use in the last year?"/>
    <x v="3"/>
    <m/>
    <n v="1"/>
    <m/>
    <m/>
    <m/>
    <n v="1"/>
  </r>
  <r>
    <s v="Has a family member's drinking or drug use ever had a bad effect on your child?"/>
    <x v="3"/>
    <m/>
    <n v="1"/>
    <m/>
    <m/>
    <m/>
    <n v="1"/>
  </r>
  <r>
    <s v="Within the past 12 months , we worried whether our food would run out before we got money to buy more"/>
    <x v="4"/>
    <n v="0"/>
    <m/>
    <m/>
    <m/>
    <m/>
    <n v="0"/>
  </r>
  <r>
    <s v="Having little interest or pleasure in doing things?"/>
    <x v="5"/>
    <m/>
    <n v="1"/>
    <m/>
    <m/>
    <m/>
    <n v="1"/>
  </r>
  <r>
    <s v="Feeling down,depressed, or hopeless?"/>
    <x v="5"/>
    <m/>
    <n v="1"/>
    <m/>
    <m/>
    <m/>
    <n v="1"/>
  </r>
  <r>
    <s v="In general , how would you describe your relationship with your spouse/partner?"/>
    <x v="6"/>
    <m/>
    <n v="1"/>
    <m/>
    <m/>
    <m/>
    <n v="1"/>
  </r>
  <r>
    <s v="Do you and your partner work out arguments with:"/>
    <x v="6"/>
    <m/>
    <n v="1"/>
    <m/>
    <m/>
    <m/>
    <n v="1"/>
  </r>
  <r>
    <m/>
    <x v="7"/>
    <m/>
    <m/>
    <m/>
    <m/>
    <m/>
    <m/>
  </r>
  <r>
    <m/>
    <x v="7"/>
    <m/>
    <m/>
    <m/>
    <m/>
    <m/>
    <m/>
  </r>
  <r>
    <m/>
    <x v="7"/>
    <m/>
    <m/>
    <m/>
    <m/>
    <m/>
    <m/>
  </r>
  <r>
    <m/>
    <x v="7"/>
    <m/>
    <m/>
    <m/>
    <m/>
    <m/>
    <m/>
  </r>
  <r>
    <m/>
    <x v="7"/>
    <m/>
    <m/>
    <m/>
    <m/>
    <m/>
    <m/>
  </r>
  <r>
    <m/>
    <x v="7"/>
    <m/>
    <m/>
    <m/>
    <m/>
    <m/>
    <m/>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
  <r>
    <s v="Tells you a story from a book or tv"/>
    <x v="0"/>
    <m/>
    <n v="1"/>
    <m/>
    <m/>
    <m/>
    <n v="1"/>
  </r>
  <r>
    <s v="Draws simple shapes - like a circle or a square"/>
    <x v="0"/>
    <m/>
    <n v="1"/>
    <m/>
    <m/>
    <m/>
    <n v="1"/>
  </r>
  <r>
    <s v="Says words like 'feet' for more than one foot and 'men' for more than one man"/>
    <x v="0"/>
    <n v="0"/>
    <m/>
    <m/>
    <m/>
    <m/>
    <n v="0"/>
  </r>
  <r>
    <s v="Uses words like 'yesterday' and 'tomorrow' correctly"/>
    <x v="0"/>
    <m/>
    <n v="1"/>
    <m/>
    <m/>
    <m/>
    <n v="1"/>
  </r>
  <r>
    <s v="Stays dry all night"/>
    <x v="0"/>
    <m/>
    <n v="1"/>
    <m/>
    <m/>
    <m/>
    <n v="1"/>
  </r>
  <r>
    <s v="Follows simple rules when playing a board game or card game"/>
    <x v="0"/>
    <m/>
    <n v="1"/>
    <m/>
    <m/>
    <m/>
    <n v="1"/>
  </r>
  <r>
    <s v="Prints his or her name"/>
    <x v="0"/>
    <m/>
    <n v="1"/>
    <m/>
    <m/>
    <m/>
    <n v="1"/>
  </r>
  <r>
    <s v="Draws picture you recognize"/>
    <x v="0"/>
    <m/>
    <n v="1"/>
    <m/>
    <m/>
    <m/>
    <n v="1"/>
  </r>
  <r>
    <s v="Stays in the lines when coloring"/>
    <x v="0"/>
    <m/>
    <n v="1"/>
    <m/>
    <m/>
    <m/>
    <n v="1"/>
  </r>
  <r>
    <s v="Names the days of the week in the correct order"/>
    <x v="0"/>
    <m/>
    <n v="1"/>
    <m/>
    <m/>
    <m/>
    <n v="1"/>
  </r>
  <r>
    <s v="Does your child seems nervous or afraid?"/>
    <x v="1"/>
    <m/>
    <n v="1"/>
    <m/>
    <m/>
    <m/>
    <n v="1"/>
  </r>
  <r>
    <s v="Does your child seems sad or happy?"/>
    <x v="1"/>
    <m/>
    <n v="1"/>
    <m/>
    <m/>
    <m/>
    <n v="1"/>
  </r>
  <r>
    <s v="Does your get upset if things are not done un a certain way?"/>
    <x v="1"/>
    <m/>
    <n v="1"/>
    <m/>
    <m/>
    <m/>
    <n v="1"/>
  </r>
  <r>
    <s v="Does your child have hard time wth change?"/>
    <x v="1"/>
    <m/>
    <n v="1"/>
    <m/>
    <m/>
    <m/>
    <n v="1"/>
  </r>
  <r>
    <s v="Does your child have trouble playing with other children?"/>
    <x v="1"/>
    <m/>
    <n v="1"/>
    <m/>
    <m/>
    <m/>
    <n v="1"/>
  </r>
  <r>
    <s v="Does your child break things on purpose?"/>
    <x v="1"/>
    <n v="0"/>
    <m/>
    <m/>
    <m/>
    <m/>
    <n v="0"/>
  </r>
  <r>
    <s v="Does your child fight with other children?"/>
    <x v="1"/>
    <n v="0"/>
    <m/>
    <m/>
    <m/>
    <m/>
    <n v="0"/>
  </r>
  <r>
    <s v="Does your child have trouble paying attention?"/>
    <x v="1"/>
    <n v="0"/>
    <m/>
    <m/>
    <m/>
    <m/>
    <n v="0"/>
  </r>
  <r>
    <s v="Does your child have a hard time calming down?"/>
    <x v="1"/>
    <m/>
    <n v="1"/>
    <m/>
    <m/>
    <m/>
    <n v="1"/>
  </r>
  <r>
    <s v="Does your child have trouble staying with one activity?"/>
    <x v="1"/>
    <m/>
    <n v="1"/>
    <m/>
    <m/>
    <m/>
    <n v="1"/>
  </r>
  <r>
    <s v="Is your child aggressive?"/>
    <x v="1"/>
    <m/>
    <n v="1"/>
    <m/>
    <m/>
    <m/>
    <n v="1"/>
  </r>
  <r>
    <s v="Is your child fidgety or unable to sit still?"/>
    <x v="1"/>
    <m/>
    <n v="1"/>
    <m/>
    <m/>
    <m/>
    <n v="1"/>
  </r>
  <r>
    <s v="Is your child angry?"/>
    <x v="1"/>
    <m/>
    <m/>
    <n v="2"/>
    <m/>
    <m/>
    <n v="2"/>
  </r>
  <r>
    <s v="Is it hard to take your child out in public?"/>
    <x v="1"/>
    <m/>
    <m/>
    <n v="2"/>
    <m/>
    <m/>
    <n v="2"/>
  </r>
  <r>
    <s v="Is it hard comfort your child ?"/>
    <x v="1"/>
    <m/>
    <m/>
    <n v="2"/>
    <m/>
    <m/>
    <n v="2"/>
  </r>
  <r>
    <s v="Is it hard to know what your child needs?"/>
    <x v="1"/>
    <m/>
    <m/>
    <n v="2"/>
    <m/>
    <m/>
    <n v="2"/>
  </r>
  <r>
    <s v="Is it hard to keep your child on a schedule or routine"/>
    <x v="1"/>
    <m/>
    <n v="1"/>
    <m/>
    <m/>
    <m/>
    <n v="1"/>
  </r>
  <r>
    <s v="Is it hard to get your child to obey you"/>
    <x v="1"/>
    <m/>
    <n v="1"/>
    <m/>
    <m/>
    <m/>
    <n v="1"/>
  </r>
  <r>
    <s v="Does anyone who lives with child smoke tobacco?"/>
    <x v="2"/>
    <n v="0"/>
    <m/>
    <m/>
    <m/>
    <m/>
    <n v="0"/>
  </r>
  <r>
    <s v="In the last year , have you ever drunk alcohol or used drugs more than you meant to?"/>
    <x v="3"/>
    <m/>
    <n v="1"/>
    <m/>
    <m/>
    <m/>
    <n v="1"/>
  </r>
  <r>
    <s v="Have you felt you wanted or needed to cut down on your drinking or drug use in the last year?"/>
    <x v="3"/>
    <m/>
    <n v="1"/>
    <m/>
    <m/>
    <m/>
    <n v="1"/>
  </r>
  <r>
    <s v="Has a family member's drinking or drug use ever had a bad effect on your child?"/>
    <x v="3"/>
    <m/>
    <n v="1"/>
    <m/>
    <m/>
    <m/>
    <n v="1"/>
  </r>
  <r>
    <s v="Within the past 12 months , we worried whether our food would run out before we got money to buy more"/>
    <x v="4"/>
    <m/>
    <n v="1"/>
    <m/>
    <m/>
    <m/>
    <n v="1"/>
  </r>
  <r>
    <s v="Having little interest or pleasure in doing things?"/>
    <x v="5"/>
    <m/>
    <m/>
    <n v="2"/>
    <m/>
    <m/>
    <n v="2"/>
  </r>
  <r>
    <s v="Feeling down,depressed, or hopeless?"/>
    <x v="5"/>
    <m/>
    <n v="1"/>
    <m/>
    <m/>
    <m/>
    <n v="1"/>
  </r>
  <r>
    <s v="In general , how would you describe your relationship with your spouse/partner?"/>
    <x v="6"/>
    <m/>
    <m/>
    <n v="2"/>
    <m/>
    <m/>
    <n v="2"/>
  </r>
  <r>
    <s v="Do you and your partner work out arguments with:"/>
    <x v="6"/>
    <m/>
    <m/>
    <n v="2"/>
    <m/>
    <m/>
    <n v="2"/>
  </r>
  <r>
    <m/>
    <x v="7"/>
    <m/>
    <m/>
    <m/>
    <m/>
    <m/>
    <m/>
  </r>
  <r>
    <m/>
    <x v="7"/>
    <m/>
    <m/>
    <m/>
    <m/>
    <m/>
    <m/>
  </r>
  <r>
    <m/>
    <x v="7"/>
    <m/>
    <m/>
    <m/>
    <m/>
    <m/>
    <m/>
  </r>
  <r>
    <m/>
    <x v="7"/>
    <m/>
    <m/>
    <m/>
    <m/>
    <m/>
    <m/>
  </r>
  <r>
    <m/>
    <x v="7"/>
    <m/>
    <m/>
    <m/>
    <m/>
    <m/>
    <m/>
  </r>
  <r>
    <m/>
    <x v="7"/>
    <m/>
    <m/>
    <m/>
    <m/>
    <m/>
    <m/>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
  <r>
    <m/>
    <m/>
    <m/>
    <m/>
    <m/>
    <m/>
    <x v="0"/>
    <m/>
  </r>
  <r>
    <m/>
    <n v="0"/>
    <n v="1"/>
    <n v="2"/>
    <n v="3"/>
    <m/>
    <x v="0"/>
    <m/>
  </r>
  <r>
    <s v="Having problems with brothers &amp; sisters"/>
    <m/>
    <n v="1"/>
    <m/>
    <m/>
    <m/>
    <x v="1"/>
    <n v="1"/>
  </r>
  <r>
    <s v="Causing problems between parents"/>
    <m/>
    <n v="1"/>
    <m/>
    <m/>
    <m/>
    <x v="1"/>
    <n v="1"/>
  </r>
  <r>
    <s v="Takes time away from family members’ work or activities"/>
    <m/>
    <n v="1"/>
    <m/>
    <m/>
    <m/>
    <x v="1"/>
    <n v="1"/>
  </r>
  <r>
    <s v="Causing fighting in the family"/>
    <m/>
    <n v="1"/>
    <m/>
    <m/>
    <m/>
    <x v="1"/>
    <n v="1"/>
  </r>
  <r>
    <s v="Isolating the family from friends and social activities"/>
    <m/>
    <n v="1"/>
    <m/>
    <m/>
    <m/>
    <x v="1"/>
    <n v="1"/>
  </r>
  <r>
    <s v="Makes it hard for the family to have fun together"/>
    <m/>
    <n v="1"/>
    <m/>
    <m/>
    <m/>
    <x v="1"/>
    <n v="1"/>
  </r>
  <r>
    <s v="Makes parenting difficult"/>
    <m/>
    <n v="1"/>
    <m/>
    <m/>
    <m/>
    <x v="1"/>
    <n v="1"/>
  </r>
  <r>
    <s v="Makes it hard to give fair attention to all family members"/>
    <m/>
    <n v="1"/>
    <m/>
    <m/>
    <m/>
    <x v="1"/>
    <n v="1"/>
  </r>
  <r>
    <s v="Provokes others to hit or scream at him/her"/>
    <m/>
    <n v="1"/>
    <m/>
    <m/>
    <m/>
    <x v="1"/>
    <n v="1"/>
  </r>
  <r>
    <s v="Costs the family more money"/>
    <m/>
    <n v="1"/>
    <m/>
    <m/>
    <s v="N/A"/>
    <x v="1"/>
    <n v="1"/>
  </r>
  <r>
    <s v="Makes it difficult to keep up with schoolwork"/>
    <m/>
    <n v="1"/>
    <m/>
    <m/>
    <s v="N/A"/>
    <x v="2"/>
    <n v="1"/>
  </r>
  <r>
    <s v="Needs extra help at school"/>
    <m/>
    <n v="1"/>
    <m/>
    <m/>
    <s v="N/A"/>
    <x v="2"/>
    <n v="1"/>
  </r>
  <r>
    <s v="Needs tutoring"/>
    <m/>
    <n v="1"/>
    <m/>
    <m/>
    <m/>
    <x v="2"/>
    <n v="1"/>
  </r>
  <r>
    <s v="Receives grades that are not as good as his/her ability"/>
    <m/>
    <n v="1"/>
    <m/>
    <m/>
    <m/>
    <x v="2"/>
    <n v="1"/>
  </r>
  <r>
    <s v="Causes problems for the teacher in the classroom"/>
    <m/>
    <n v="1"/>
    <m/>
    <m/>
    <m/>
    <x v="3"/>
    <n v="1"/>
  </r>
  <r>
    <s v="Receives ”time-out” or removal from the classroom"/>
    <m/>
    <n v="1"/>
    <m/>
    <m/>
    <m/>
    <x v="3"/>
    <n v="1"/>
  </r>
  <r>
    <s v="Having problems in the school yard"/>
    <m/>
    <n v="1"/>
    <m/>
    <m/>
    <m/>
    <x v="3"/>
    <n v="1"/>
  </r>
  <r>
    <s v="Receives detentions (during or after school)"/>
    <m/>
    <n v="1"/>
    <m/>
    <m/>
    <m/>
    <x v="3"/>
    <n v="1"/>
  </r>
  <r>
    <s v="Suspended or expelled from school"/>
    <m/>
    <n v="1"/>
    <m/>
    <m/>
    <m/>
    <x v="3"/>
    <n v="1"/>
  </r>
  <r>
    <s v="Misses classes or is late for school"/>
    <m/>
    <n v="1"/>
    <m/>
    <m/>
    <m/>
    <x v="3"/>
    <n v="1"/>
  </r>
  <r>
    <s v="Excessive use of TV, computer, or video games"/>
    <m/>
    <n v="1"/>
    <m/>
    <m/>
    <m/>
    <x v="4"/>
    <n v="1"/>
  </r>
  <r>
    <s v="Difficulty keeping clean, brushing teeth, brushing hair, bathing, etc."/>
    <m/>
    <n v="1"/>
    <m/>
    <m/>
    <m/>
    <x v="4"/>
    <n v="1"/>
  </r>
  <r>
    <s v="Problems getting ready for school"/>
    <m/>
    <n v="1"/>
    <m/>
    <m/>
    <m/>
    <x v="4"/>
    <n v="1"/>
  </r>
  <r>
    <s v="Problems getting ready for bed"/>
    <m/>
    <n v="1"/>
    <m/>
    <m/>
    <m/>
    <x v="4"/>
    <n v="1"/>
  </r>
  <r>
    <s v="Problems with eating (picky eater, junk food)"/>
    <m/>
    <n v="1"/>
    <m/>
    <m/>
    <s v="N/A"/>
    <x v="4"/>
    <n v="1"/>
  </r>
  <r>
    <s v="Problems with sleeping"/>
    <m/>
    <n v="1"/>
    <m/>
    <m/>
    <s v="N/A"/>
    <x v="4"/>
    <n v="1"/>
  </r>
  <r>
    <s v="Gets hurt or injured"/>
    <m/>
    <n v="1"/>
    <m/>
    <m/>
    <m/>
    <x v="4"/>
    <n v="1"/>
  </r>
  <r>
    <s v="Avoids exercise"/>
    <m/>
    <n v="1"/>
    <m/>
    <m/>
    <m/>
    <x v="4"/>
    <n v="1"/>
  </r>
  <r>
    <s v="Needs more medical care"/>
    <m/>
    <n v="1"/>
    <m/>
    <m/>
    <m/>
    <x v="4"/>
    <n v="1"/>
  </r>
  <r>
    <s v="Has trouble taking medication,getting needles or visiting the doctor/dentist"/>
    <m/>
    <n v="1"/>
    <m/>
    <m/>
    <m/>
    <x v="4"/>
    <n v="1"/>
  </r>
  <r>
    <s v="Feels bad about himself/herself"/>
    <m/>
    <n v="1"/>
    <m/>
    <m/>
    <m/>
    <x v="5"/>
    <n v="1"/>
  </r>
  <r>
    <s v="My child does not have enough fun"/>
    <m/>
    <n v="1"/>
    <m/>
    <m/>
    <m/>
    <x v="5"/>
    <n v="1"/>
  </r>
  <r>
    <s v="My child is not happy with his/her life"/>
    <m/>
    <n v="1"/>
    <m/>
    <m/>
    <m/>
    <x v="5"/>
    <n v="1"/>
  </r>
  <r>
    <s v="Being teased or bullied by other children"/>
    <m/>
    <n v="1"/>
    <m/>
    <m/>
    <m/>
    <x v="6"/>
    <n v="1"/>
  </r>
  <r>
    <s v="Teases or bullies other children"/>
    <m/>
    <n v="1"/>
    <m/>
    <m/>
    <m/>
    <x v="6"/>
    <n v="1"/>
  </r>
  <r>
    <s v="Problems getting along with other children"/>
    <m/>
    <n v="1"/>
    <m/>
    <m/>
    <m/>
    <x v="6"/>
    <n v="1"/>
  </r>
  <r>
    <s v="Problems participating in after-school activities (sports, music, clubs)"/>
    <m/>
    <n v="1"/>
    <m/>
    <m/>
    <m/>
    <x v="6"/>
    <n v="1"/>
  </r>
  <r>
    <s v="Problems making new friends"/>
    <m/>
    <n v="1"/>
    <m/>
    <m/>
    <m/>
    <x v="6"/>
    <n v="1"/>
  </r>
  <r>
    <s v="Problems keeping friends"/>
    <m/>
    <n v="1"/>
    <m/>
    <m/>
    <s v="N/A"/>
    <x v="6"/>
    <n v="1"/>
  </r>
  <r>
    <s v="Difficulty with parties (not invited, avoids them, misbehaves)"/>
    <m/>
    <n v="1"/>
    <m/>
    <m/>
    <s v="N/A"/>
    <x v="6"/>
    <n v="1"/>
  </r>
  <r>
    <s v="Easily led by other children (peer pressure)"/>
    <m/>
    <n v="1"/>
    <m/>
    <m/>
    <s v="N/A"/>
    <x v="7"/>
    <n v="1"/>
  </r>
  <r>
    <s v="Breaking or damaging things"/>
    <m/>
    <n v="1"/>
    <m/>
    <m/>
    <m/>
    <x v="7"/>
    <n v="1"/>
  </r>
  <r>
    <s v="Doing things that are illegal"/>
    <m/>
    <n v="1"/>
    <m/>
    <m/>
    <m/>
    <x v="7"/>
    <n v="1"/>
  </r>
  <r>
    <s v="Being involved with the police"/>
    <m/>
    <n v="1"/>
    <m/>
    <m/>
    <m/>
    <x v="7"/>
    <n v="1"/>
  </r>
  <r>
    <s v="Smoking cigarettes"/>
    <m/>
    <n v="1"/>
    <m/>
    <m/>
    <m/>
    <x v="7"/>
    <n v="1"/>
  </r>
  <r>
    <s v="Taking illegal drugs"/>
    <m/>
    <n v="1"/>
    <m/>
    <m/>
    <m/>
    <x v="7"/>
    <n v="1"/>
  </r>
  <r>
    <s v="Doing dangerous things"/>
    <m/>
    <n v="1"/>
    <m/>
    <m/>
    <m/>
    <x v="7"/>
    <n v="1"/>
  </r>
  <r>
    <s v="Causes injury to others"/>
    <m/>
    <n v="1"/>
    <m/>
    <m/>
    <m/>
    <x v="7"/>
    <n v="1"/>
  </r>
  <r>
    <s v="Says mean or inappropriate things"/>
    <m/>
    <n v="1"/>
    <m/>
    <m/>
    <m/>
    <x v="7"/>
    <n v="1"/>
  </r>
  <r>
    <s v="Sexually inappropriate behaviour"/>
    <m/>
    <n v="1"/>
    <m/>
    <m/>
    <m/>
    <x v="7"/>
    <n v="1"/>
  </r>
  <r>
    <m/>
    <m/>
    <m/>
    <m/>
    <m/>
    <m/>
    <x v="0"/>
    <m/>
  </r>
  <r>
    <m/>
    <m/>
    <m/>
    <m/>
    <m/>
    <m/>
    <x v="0"/>
    <m/>
  </r>
  <r>
    <m/>
    <m/>
    <m/>
    <m/>
    <m/>
    <m/>
    <x v="0"/>
    <m/>
  </r>
  <r>
    <m/>
    <m/>
    <m/>
    <m/>
    <m/>
    <m/>
    <x v="0"/>
    <m/>
  </r>
  <r>
    <m/>
    <m/>
    <m/>
    <m/>
    <m/>
    <m/>
    <x v="0"/>
    <m/>
  </r>
  <r>
    <m/>
    <m/>
    <m/>
    <m/>
    <m/>
    <m/>
    <x v="0"/>
    <m/>
  </r>
  <r>
    <m/>
    <m/>
    <m/>
    <m/>
    <m/>
    <m/>
    <x v="0"/>
    <m/>
  </r>
  <r>
    <m/>
    <m/>
    <m/>
    <m/>
    <m/>
    <m/>
    <x v="0"/>
    <m/>
  </r>
  <r>
    <m/>
    <m/>
    <m/>
    <m/>
    <m/>
    <m/>
    <x v="0"/>
    <m/>
  </r>
  <r>
    <m/>
    <m/>
    <m/>
    <m/>
    <m/>
    <m/>
    <x v="0"/>
    <m/>
  </r>
  <r>
    <m/>
    <m/>
    <m/>
    <m/>
    <m/>
    <m/>
    <x v="0"/>
    <m/>
  </r>
  <r>
    <m/>
    <m/>
    <m/>
    <m/>
    <m/>
    <m/>
    <x v="0"/>
    <m/>
  </r>
  <r>
    <m/>
    <m/>
    <m/>
    <m/>
    <m/>
    <m/>
    <x v="0"/>
    <m/>
  </r>
  <r>
    <m/>
    <m/>
    <m/>
    <m/>
    <m/>
    <m/>
    <x v="0"/>
    <m/>
  </r>
  <r>
    <m/>
    <m/>
    <m/>
    <m/>
    <m/>
    <m/>
    <x v="0"/>
    <m/>
  </r>
  <r>
    <m/>
    <m/>
    <m/>
    <m/>
    <m/>
    <m/>
    <x v="0"/>
    <m/>
  </r>
  <r>
    <m/>
    <m/>
    <m/>
    <m/>
    <m/>
    <m/>
    <x v="0"/>
    <m/>
  </r>
  <r>
    <m/>
    <m/>
    <m/>
    <m/>
    <m/>
    <m/>
    <x v="0"/>
    <m/>
  </r>
  <r>
    <m/>
    <m/>
    <m/>
    <m/>
    <m/>
    <m/>
    <x v="0"/>
    <m/>
  </r>
  <r>
    <m/>
    <m/>
    <m/>
    <m/>
    <m/>
    <m/>
    <x v="0"/>
    <m/>
  </r>
  <r>
    <m/>
    <m/>
    <m/>
    <m/>
    <m/>
    <m/>
    <x v="0"/>
    <m/>
  </r>
  <r>
    <m/>
    <m/>
    <m/>
    <m/>
    <m/>
    <m/>
    <x v="0"/>
    <m/>
  </r>
  <r>
    <m/>
    <m/>
    <m/>
    <m/>
    <m/>
    <m/>
    <x v="0"/>
    <m/>
  </r>
  <r>
    <m/>
    <m/>
    <m/>
    <m/>
    <m/>
    <m/>
    <x v="0"/>
    <m/>
  </r>
  <r>
    <m/>
    <m/>
    <m/>
    <m/>
    <m/>
    <m/>
    <x v="0"/>
    <m/>
  </r>
  <r>
    <m/>
    <m/>
    <m/>
    <m/>
    <m/>
    <m/>
    <x v="0"/>
    <m/>
  </r>
  <r>
    <m/>
    <m/>
    <m/>
    <m/>
    <m/>
    <m/>
    <x v="0"/>
    <m/>
  </r>
  <r>
    <m/>
    <m/>
    <m/>
    <m/>
    <m/>
    <m/>
    <x v="0"/>
    <m/>
  </r>
  <r>
    <m/>
    <m/>
    <m/>
    <m/>
    <m/>
    <m/>
    <x v="0"/>
    <m/>
  </r>
  <r>
    <m/>
    <m/>
    <m/>
    <m/>
    <m/>
    <m/>
    <x v="0"/>
    <m/>
  </r>
  <r>
    <m/>
    <m/>
    <m/>
    <m/>
    <m/>
    <m/>
    <x v="0"/>
    <m/>
  </r>
</pivotCacheRecords>
</file>

<file path=xl/pivotCache/pivotCacheRecords1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
  <r>
    <x v="0"/>
    <n v="9"/>
  </r>
  <r>
    <x v="0"/>
    <m/>
  </r>
  <r>
    <x v="0"/>
    <m/>
  </r>
  <r>
    <x v="0"/>
    <m/>
  </r>
  <r>
    <x v="0"/>
    <m/>
  </r>
  <r>
    <x v="0"/>
    <m/>
  </r>
  <r>
    <x v="0"/>
    <m/>
  </r>
  <r>
    <x v="0"/>
    <m/>
  </r>
  <r>
    <x v="0"/>
    <m/>
  </r>
  <r>
    <x v="1"/>
    <n v="9"/>
  </r>
  <r>
    <x v="1"/>
    <m/>
  </r>
  <r>
    <x v="1"/>
    <m/>
  </r>
  <r>
    <x v="1"/>
    <m/>
  </r>
  <r>
    <x v="1"/>
    <m/>
  </r>
  <r>
    <x v="1"/>
    <m/>
  </r>
  <r>
    <x v="1"/>
    <m/>
  </r>
  <r>
    <x v="1"/>
    <m/>
  </r>
  <r>
    <x v="1"/>
    <m/>
  </r>
  <r>
    <x v="2"/>
    <n v="8"/>
  </r>
  <r>
    <x v="2"/>
    <m/>
  </r>
  <r>
    <x v="2"/>
    <m/>
  </r>
  <r>
    <x v="2"/>
    <m/>
  </r>
  <r>
    <x v="2"/>
    <m/>
  </r>
  <r>
    <x v="2"/>
    <m/>
  </r>
  <r>
    <x v="2"/>
    <m/>
  </r>
  <r>
    <x v="2"/>
    <m/>
  </r>
  <r>
    <x v="3"/>
    <n v="13"/>
  </r>
  <r>
    <x v="3"/>
    <m/>
  </r>
  <r>
    <x v="3"/>
    <m/>
  </r>
  <r>
    <x v="3"/>
    <m/>
  </r>
  <r>
    <x v="3"/>
    <m/>
  </r>
  <r>
    <x v="3"/>
    <m/>
  </r>
  <r>
    <x v="3"/>
    <m/>
  </r>
  <r>
    <x v="3"/>
    <m/>
  </r>
  <r>
    <x v="3"/>
    <m/>
  </r>
  <r>
    <x v="3"/>
    <m/>
  </r>
  <r>
    <x v="3"/>
    <m/>
  </r>
  <r>
    <x v="3"/>
    <m/>
  </r>
  <r>
    <x v="3"/>
    <m/>
  </r>
  <r>
    <x v="3"/>
    <m/>
  </r>
  <r>
    <x v="4"/>
    <n v="7"/>
  </r>
  <r>
    <x v="4"/>
    <m/>
  </r>
  <r>
    <x v="4"/>
    <m/>
  </r>
  <r>
    <x v="4"/>
    <m/>
  </r>
  <r>
    <x v="4"/>
    <m/>
  </r>
  <r>
    <x v="4"/>
    <m/>
  </r>
  <r>
    <x v="4"/>
    <m/>
  </r>
  <r>
    <x v="5"/>
    <n v="3"/>
  </r>
  <r>
    <x v="5"/>
    <m/>
  </r>
  <r>
    <x v="5"/>
    <m/>
  </r>
  <r>
    <x v="5"/>
    <m/>
  </r>
  <r>
    <x v="5"/>
    <m/>
  </r>
  <r>
    <x v="5"/>
    <m/>
  </r>
  <r>
    <x v="5"/>
    <m/>
  </r>
  <r>
    <x v="5"/>
    <m/>
  </r>
  <r>
    <x v="6"/>
    <n v="18"/>
  </r>
  <r>
    <x v="7"/>
    <m/>
  </r>
  <r>
    <x v="7"/>
    <m/>
  </r>
</pivotCacheRecords>
</file>

<file path=xl/pivotCache/pivotCacheRecords1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n v="0"/>
  </r>
  <r>
    <x v="1"/>
    <x v="1"/>
    <n v="0"/>
  </r>
  <r>
    <x v="2"/>
    <x v="2"/>
    <n v="0"/>
  </r>
  <r>
    <x v="3"/>
    <x v="3"/>
    <n v="0"/>
  </r>
  <r>
    <x v="4"/>
    <x v="4"/>
    <n v="0"/>
  </r>
  <r>
    <x v="1"/>
    <x v="1"/>
    <n v="0"/>
  </r>
  <r>
    <x v="3"/>
    <x v="3"/>
    <n v="0"/>
  </r>
  <r>
    <x v="3"/>
    <x v="3"/>
    <n v="0"/>
  </r>
  <r>
    <x v="4"/>
    <x v="4"/>
    <n v="0"/>
  </r>
  <r>
    <x v="5"/>
    <x v="5"/>
    <n v="0"/>
  </r>
  <r>
    <x v="1"/>
    <x v="1"/>
    <n v="0"/>
  </r>
  <r>
    <x v="3"/>
    <x v="3"/>
    <n v="0"/>
  </r>
  <r>
    <x v="0"/>
    <x v="0"/>
    <n v="0"/>
  </r>
  <r>
    <x v="2"/>
    <x v="2"/>
    <n v="0"/>
  </r>
  <r>
    <x v="1"/>
    <x v="1"/>
    <n v="0"/>
  </r>
  <r>
    <x v="5"/>
    <x v="5"/>
    <n v="1"/>
  </r>
  <r>
    <x v="4"/>
    <x v="4"/>
    <n v="1"/>
  </r>
  <r>
    <x v="4"/>
    <x v="4"/>
    <n v="1"/>
  </r>
  <r>
    <x v="1"/>
    <x v="1"/>
    <n v="1"/>
  </r>
  <r>
    <x v="3"/>
    <x v="3"/>
    <n v="1"/>
  </r>
  <r>
    <x v="1"/>
    <x v="1"/>
    <n v="1"/>
  </r>
  <r>
    <x v="0"/>
    <x v="0"/>
    <n v="1"/>
  </r>
  <r>
    <x v="5"/>
    <x v="5"/>
    <n v="1"/>
  </r>
  <r>
    <x v="2"/>
    <x v="2"/>
    <n v="1"/>
  </r>
  <r>
    <x v="1"/>
    <x v="1"/>
    <n v="1"/>
  </r>
  <r>
    <x v="2"/>
    <x v="2"/>
    <n v="1"/>
  </r>
  <r>
    <x v="0"/>
    <x v="0"/>
    <n v="1"/>
  </r>
  <r>
    <x v="2"/>
    <x v="2"/>
    <n v="1"/>
  </r>
  <r>
    <x v="1"/>
    <x v="1"/>
    <n v="1"/>
  </r>
  <r>
    <x v="3"/>
    <x v="3"/>
    <n v="1"/>
  </r>
  <r>
    <x v="5"/>
    <x v="5"/>
    <n v="2"/>
  </r>
  <r>
    <x v="3"/>
    <x v="3"/>
    <n v="2"/>
  </r>
  <r>
    <x v="4"/>
    <x v="4"/>
    <n v="2"/>
  </r>
  <r>
    <x v="2"/>
    <x v="2"/>
    <n v="2"/>
  </r>
  <r>
    <x v="0"/>
    <x v="0"/>
    <n v="2"/>
  </r>
  <r>
    <x v="2"/>
    <x v="2"/>
    <n v="2"/>
  </r>
  <r>
    <x v="0"/>
    <x v="0"/>
    <n v="2"/>
  </r>
  <r>
    <x v="3"/>
    <x v="3"/>
    <n v="2"/>
  </r>
  <r>
    <x v="2"/>
    <x v="2"/>
    <n v="2"/>
  </r>
  <r>
    <x v="1"/>
    <x v="1"/>
    <n v="2"/>
  </r>
  <r>
    <x v="2"/>
    <x v="2"/>
    <n v="2"/>
  </r>
  <r>
    <x v="5"/>
    <x v="5"/>
    <n v="2"/>
  </r>
  <r>
    <x v="3"/>
    <x v="3"/>
    <n v="2"/>
  </r>
  <r>
    <x v="5"/>
    <x v="5"/>
    <n v="2"/>
  </r>
  <r>
    <x v="4"/>
    <x v="4"/>
    <n v="2"/>
  </r>
  <r>
    <x v="4"/>
    <x v="4"/>
    <n v="3"/>
  </r>
  <r>
    <x v="1"/>
    <x v="1"/>
    <n v="3"/>
  </r>
  <r>
    <x v="6"/>
    <x v="6"/>
    <m/>
  </r>
</pivotCacheRecords>
</file>

<file path=xl/pivotCache/pivotCacheRecords1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s v="Anxious generally"/>
    <n v="1"/>
    <n v="0"/>
  </r>
  <r>
    <x v="1"/>
    <s v="Low mood"/>
    <n v="1"/>
    <n v="0"/>
  </r>
  <r>
    <x v="2"/>
    <s v="Panic"/>
    <n v="1"/>
    <n v="0"/>
  </r>
  <r>
    <x v="3"/>
    <s v="Anxious in social situations"/>
    <n v="1"/>
    <n v="0"/>
  </r>
  <r>
    <x v="4"/>
    <s v="Anxious away from home"/>
    <n v="1"/>
    <n v="0"/>
  </r>
  <r>
    <x v="1"/>
    <s v="Low mood"/>
    <n v="1"/>
    <n v="0"/>
  </r>
  <r>
    <x v="3"/>
    <s v="Anxious in social situations"/>
    <n v="1"/>
    <n v="0"/>
  </r>
  <r>
    <x v="3"/>
    <s v="Anxious in social situations"/>
    <n v="1"/>
    <n v="0"/>
  </r>
  <r>
    <x v="4"/>
    <s v="Anxious away from home"/>
    <n v="1"/>
    <n v="0"/>
  </r>
  <r>
    <x v="5"/>
    <s v="Compelled to do or think things"/>
    <n v="1"/>
    <n v="0"/>
  </r>
  <r>
    <x v="1"/>
    <s v="Low mood"/>
    <n v="1"/>
    <n v="0"/>
  </r>
  <r>
    <x v="3"/>
    <s v="Anxious in social situations"/>
    <n v="1"/>
    <n v="0"/>
  </r>
  <r>
    <x v="0"/>
    <s v="Anxious generally"/>
    <n v="1"/>
    <n v="3"/>
  </r>
  <r>
    <x v="2"/>
    <s v="Panic"/>
    <n v="1"/>
    <n v="3"/>
  </r>
  <r>
    <x v="1"/>
    <s v="Low mood"/>
    <n v="1"/>
    <n v="3"/>
  </r>
  <r>
    <x v="5"/>
    <s v="Compelled to do or think things"/>
    <n v="2"/>
    <n v="3"/>
  </r>
  <r>
    <x v="4"/>
    <s v="Anxious away from home"/>
    <n v="2"/>
    <n v="3"/>
  </r>
  <r>
    <x v="4"/>
    <s v="Anxious away from home"/>
    <n v="2"/>
    <n v="3"/>
  </r>
  <r>
    <x v="1"/>
    <s v="Low mood"/>
    <n v="2"/>
    <n v="3"/>
  </r>
  <r>
    <x v="3"/>
    <s v="Anxious in social situations"/>
    <n v="2"/>
    <n v="3"/>
  </r>
  <r>
    <x v="1"/>
    <s v="Low mood"/>
    <n v="2"/>
    <n v="3"/>
  </r>
  <r>
    <x v="0"/>
    <s v="Anxious generally"/>
    <n v="2"/>
    <n v="3"/>
  </r>
  <r>
    <x v="5"/>
    <s v="Compelled to do or think things"/>
    <n v="2"/>
    <n v="3"/>
  </r>
  <r>
    <x v="2"/>
    <s v="Panic"/>
    <n v="2"/>
    <n v="3"/>
  </r>
  <r>
    <x v="1"/>
    <s v="Low mood"/>
    <n v="2"/>
    <n v="3"/>
  </r>
  <r>
    <x v="2"/>
    <s v="Panic"/>
    <n v="2"/>
    <n v="3"/>
  </r>
  <r>
    <x v="0"/>
    <s v="Anxious generally"/>
    <n v="2"/>
    <n v="3"/>
  </r>
  <r>
    <x v="2"/>
    <s v="Panic"/>
    <n v="2"/>
    <n v="3"/>
  </r>
  <r>
    <x v="1"/>
    <s v="Low mood"/>
    <n v="2"/>
    <n v="3"/>
  </r>
  <r>
    <x v="3"/>
    <s v="Anxious in social situations"/>
    <n v="2"/>
    <n v="3"/>
  </r>
  <r>
    <x v="5"/>
    <s v="Compelled to do or think things"/>
    <n v="3"/>
    <n v="1"/>
  </r>
  <r>
    <x v="3"/>
    <s v="Anxious in social situations"/>
    <n v="3"/>
    <n v="2"/>
  </r>
  <r>
    <x v="4"/>
    <s v="Anxious away from home"/>
    <n v="3"/>
    <n v="1"/>
  </r>
  <r>
    <x v="2"/>
    <s v="Panic"/>
    <n v="3"/>
    <n v="2"/>
  </r>
  <r>
    <x v="0"/>
    <s v="Anxious generally"/>
    <n v="3"/>
    <n v="2"/>
  </r>
  <r>
    <x v="2"/>
    <s v="Panic"/>
    <n v="3"/>
    <n v="2"/>
  </r>
  <r>
    <x v="0"/>
    <s v="Anxious generally"/>
    <n v="3"/>
    <n v="2"/>
  </r>
  <r>
    <x v="3"/>
    <s v="Anxious in social situations"/>
    <n v="3"/>
    <n v="2"/>
  </r>
  <r>
    <x v="2"/>
    <s v="Panic"/>
    <n v="3"/>
    <n v="2"/>
  </r>
  <r>
    <x v="1"/>
    <s v="Low mood"/>
    <n v="3"/>
    <n v="2"/>
  </r>
  <r>
    <x v="2"/>
    <s v="Panic"/>
    <n v="3"/>
    <n v="1"/>
  </r>
  <r>
    <x v="5"/>
    <s v="Compelled to do or think things"/>
    <n v="3"/>
    <n v="1"/>
  </r>
  <r>
    <x v="3"/>
    <s v="Anxious in social situations"/>
    <n v="3"/>
    <n v="1"/>
  </r>
  <r>
    <x v="5"/>
    <s v="Compelled to do or think things"/>
    <n v="3"/>
    <n v="1"/>
  </r>
  <r>
    <x v="4"/>
    <s v="Anxious away from home"/>
    <n v="3"/>
    <n v="2"/>
  </r>
  <r>
    <x v="4"/>
    <s v="Anxious away from home"/>
    <n v="0"/>
    <n v="2"/>
  </r>
  <r>
    <x v="1"/>
    <s v="Low mood"/>
    <n v="0"/>
    <n v="2"/>
  </r>
  <r>
    <x v="6"/>
    <m/>
    <m/>
    <m/>
  </r>
</pivotCacheRecords>
</file>

<file path=xl/pivotCache/pivotCacheRecords1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s v="Anxious generally"/>
    <n v="1"/>
  </r>
  <r>
    <x v="1"/>
    <s v="Low mood"/>
    <n v="1"/>
  </r>
  <r>
    <x v="2"/>
    <s v="Panic"/>
    <n v="1"/>
  </r>
  <r>
    <x v="3"/>
    <s v="Anxious in social situations"/>
    <n v="1"/>
  </r>
  <r>
    <x v="4"/>
    <s v="Anxious away from home"/>
    <n v="1"/>
  </r>
  <r>
    <x v="1"/>
    <s v="Low mood"/>
    <n v="1"/>
  </r>
  <r>
    <x v="3"/>
    <s v="Anxious in social situations"/>
    <n v="1"/>
  </r>
  <r>
    <x v="3"/>
    <s v="Anxious in social situations"/>
    <n v="1"/>
  </r>
  <r>
    <x v="4"/>
    <s v="Anxious away from home"/>
    <n v="1"/>
  </r>
  <r>
    <x v="5"/>
    <s v="Compelled to do or think things"/>
    <n v="1"/>
  </r>
  <r>
    <x v="1"/>
    <s v="Low mood"/>
    <n v="1"/>
  </r>
  <r>
    <x v="3"/>
    <s v="Anxious in social situations"/>
    <n v="1"/>
  </r>
  <r>
    <x v="0"/>
    <s v="Anxious generally"/>
    <n v="1"/>
  </r>
  <r>
    <x v="2"/>
    <s v="Panic"/>
    <n v="1"/>
  </r>
  <r>
    <x v="1"/>
    <s v="Low mood"/>
    <n v="1"/>
  </r>
  <r>
    <x v="5"/>
    <s v="Compelled to do or think things"/>
    <n v="2"/>
  </r>
  <r>
    <x v="4"/>
    <s v="Anxious away from home"/>
    <n v="2"/>
  </r>
  <r>
    <x v="4"/>
    <s v="Anxious away from home"/>
    <n v="2"/>
  </r>
  <r>
    <x v="1"/>
    <s v="Low mood"/>
    <n v="2"/>
  </r>
  <r>
    <x v="3"/>
    <s v="Anxious in social situations"/>
    <n v="2"/>
  </r>
  <r>
    <x v="1"/>
    <s v="Low mood"/>
    <n v="2"/>
  </r>
  <r>
    <x v="0"/>
    <s v="Anxious generally"/>
    <n v="2"/>
  </r>
  <r>
    <x v="5"/>
    <s v="Compelled to do or think things"/>
    <n v="2"/>
  </r>
  <r>
    <x v="2"/>
    <s v="Panic"/>
    <n v="2"/>
  </r>
  <r>
    <x v="1"/>
    <s v="Low mood"/>
    <n v="2"/>
  </r>
  <r>
    <x v="2"/>
    <s v="Panic"/>
    <n v="2"/>
  </r>
  <r>
    <x v="0"/>
    <s v="Anxious generally"/>
    <n v="2"/>
  </r>
  <r>
    <x v="2"/>
    <s v="Panic"/>
    <n v="2"/>
  </r>
  <r>
    <x v="1"/>
    <s v="Low mood"/>
    <n v="2"/>
  </r>
  <r>
    <x v="3"/>
    <s v="Anxious in social situations"/>
    <n v="2"/>
  </r>
  <r>
    <x v="5"/>
    <s v="Compelled to do or think things"/>
    <n v="3"/>
  </r>
  <r>
    <x v="3"/>
    <s v="Anxious in social situations"/>
    <n v="3"/>
  </r>
  <r>
    <x v="4"/>
    <s v="Anxious away from home"/>
    <n v="3"/>
  </r>
  <r>
    <x v="2"/>
    <s v="Panic"/>
    <n v="3"/>
  </r>
  <r>
    <x v="0"/>
    <s v="Anxious generally"/>
    <n v="3"/>
  </r>
  <r>
    <x v="2"/>
    <s v="Panic"/>
    <n v="3"/>
  </r>
  <r>
    <x v="0"/>
    <s v="Anxious generally"/>
    <n v="3"/>
  </r>
  <r>
    <x v="3"/>
    <s v="Anxious in social situations"/>
    <n v="3"/>
  </r>
  <r>
    <x v="2"/>
    <s v="Panic"/>
    <n v="3"/>
  </r>
  <r>
    <x v="1"/>
    <s v="Low mood"/>
    <n v="3"/>
  </r>
  <r>
    <x v="2"/>
    <s v="Panic"/>
    <n v="3"/>
  </r>
  <r>
    <x v="5"/>
    <s v="Compelled to do or think things"/>
    <n v="3"/>
  </r>
  <r>
    <x v="3"/>
    <s v="Anxious in social situations"/>
    <n v="3"/>
  </r>
  <r>
    <x v="5"/>
    <s v="Compelled to do or think things"/>
    <n v="3"/>
  </r>
  <r>
    <x v="4"/>
    <s v="Anxious away from home"/>
    <n v="3"/>
  </r>
  <r>
    <x v="4"/>
    <s v="Anxious away from home"/>
    <n v="0"/>
  </r>
  <r>
    <x v="1"/>
    <s v="Low mood"/>
    <n v="0"/>
  </r>
  <r>
    <x v="6"/>
    <m/>
    <m/>
  </r>
</pivotCacheRecords>
</file>

<file path=xl/pivotCache/pivotCacheRecords2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9">
  <r>
    <s v="Makes sounds that let you know he or she is happy or upset"/>
    <x v="0"/>
    <x v="0"/>
    <x v="0"/>
    <x v="0"/>
    <x v="0"/>
    <x v="0"/>
    <x v="0"/>
  </r>
  <r>
    <s v="Seems happy to see you"/>
    <x v="0"/>
    <x v="0"/>
    <x v="0"/>
    <x v="0"/>
    <x v="0"/>
    <x v="0"/>
    <x v="0"/>
  </r>
  <r>
    <s v="Follows a moving toy with his or her eyes"/>
    <x v="0"/>
    <x v="0"/>
    <x v="0"/>
    <x v="0"/>
    <x v="0"/>
    <x v="0"/>
    <x v="0"/>
  </r>
  <r>
    <s v="Turns head to find the person who is talking"/>
    <x v="0"/>
    <x v="0"/>
    <x v="0"/>
    <x v="0"/>
    <x v="0"/>
    <x v="0"/>
    <x v="0"/>
  </r>
  <r>
    <s v="Holds head steady when being pulled up to a sitting position"/>
    <x v="0"/>
    <x v="0"/>
    <x v="0"/>
    <x v="0"/>
    <x v="0"/>
    <x v="0"/>
    <x v="0"/>
  </r>
  <r>
    <s v="Brings hand together"/>
    <x v="0"/>
    <x v="0"/>
    <x v="0"/>
    <x v="0"/>
    <x v="0"/>
    <x v="0"/>
    <x v="0"/>
  </r>
  <r>
    <s v="Laughs"/>
    <x v="0"/>
    <x v="0"/>
    <x v="0"/>
    <x v="0"/>
    <x v="0"/>
    <x v="0"/>
    <x v="0"/>
  </r>
  <r>
    <s v="Keeps head steady when held in a sitting position"/>
    <x v="0"/>
    <x v="0"/>
    <x v="0"/>
    <x v="0"/>
    <x v="0"/>
    <x v="0"/>
    <x v="0"/>
  </r>
  <r>
    <s v="Makes sounds like 'ga','ma,'ba'"/>
    <x v="0"/>
    <x v="0"/>
    <x v="0"/>
    <x v="0"/>
    <x v="0"/>
    <x v="0"/>
    <x v="0"/>
  </r>
  <r>
    <s v="Looks when you call his or her name"/>
    <x v="0"/>
    <x v="0"/>
    <x v="0"/>
    <x v="0"/>
    <x v="0"/>
    <x v="0"/>
    <x v="0"/>
  </r>
  <r>
    <s v="Does your child have a hard time being with new people?"/>
    <x v="1"/>
    <x v="1"/>
    <x v="1"/>
    <x v="0"/>
    <x v="0"/>
    <x v="0"/>
    <x v="1"/>
  </r>
  <r>
    <s v="Does your child have a hard time in new places?"/>
    <x v="1"/>
    <x v="1"/>
    <x v="1"/>
    <x v="0"/>
    <x v="0"/>
    <x v="0"/>
    <x v="1"/>
  </r>
  <r>
    <s v="Does your child have a hard time with change?"/>
    <x v="1"/>
    <x v="1"/>
    <x v="1"/>
    <x v="0"/>
    <x v="0"/>
    <x v="0"/>
    <x v="1"/>
  </r>
  <r>
    <s v="Does your child mind being held by other people?"/>
    <x v="1"/>
    <x v="1"/>
    <x v="1"/>
    <x v="0"/>
    <x v="0"/>
    <x v="0"/>
    <x v="1"/>
  </r>
  <r>
    <s v="Does your child cry a lot?"/>
    <x v="2"/>
    <x v="1"/>
    <x v="0"/>
    <x v="1"/>
    <x v="0"/>
    <x v="0"/>
    <x v="2"/>
  </r>
  <r>
    <s v="Does your child have a hard time calming down?"/>
    <x v="2"/>
    <x v="1"/>
    <x v="0"/>
    <x v="1"/>
    <x v="0"/>
    <x v="0"/>
    <x v="2"/>
  </r>
  <r>
    <s v="Is your child fussy or irritable?"/>
    <x v="2"/>
    <x v="1"/>
    <x v="0"/>
    <x v="1"/>
    <x v="0"/>
    <x v="0"/>
    <x v="2"/>
  </r>
  <r>
    <s v="Is it hard to comfort your child?"/>
    <x v="2"/>
    <x v="1"/>
    <x v="0"/>
    <x v="1"/>
    <x v="0"/>
    <x v="0"/>
    <x v="2"/>
  </r>
  <r>
    <s v="Is it hard to keep your child on a schedule or routine?"/>
    <x v="3"/>
    <x v="1"/>
    <x v="0"/>
    <x v="1"/>
    <x v="0"/>
    <x v="0"/>
    <x v="2"/>
  </r>
  <r>
    <s v="Is it hard to put your child to sleep?"/>
    <x v="3"/>
    <x v="1"/>
    <x v="0"/>
    <x v="1"/>
    <x v="0"/>
    <x v="0"/>
    <x v="2"/>
  </r>
  <r>
    <s v="Is it hard to get enough sleep because of your child?"/>
    <x v="3"/>
    <x v="1"/>
    <x v="0"/>
    <x v="1"/>
    <x v="0"/>
    <x v="0"/>
    <x v="2"/>
  </r>
  <r>
    <s v="Does your child have trouble staying asleep?"/>
    <x v="3"/>
    <x v="1"/>
    <x v="0"/>
    <x v="1"/>
    <x v="0"/>
    <x v="0"/>
    <x v="2"/>
  </r>
  <r>
    <s v="Does anyone who lives with child smoke tobacco?"/>
    <x v="4"/>
    <x v="2"/>
    <x v="1"/>
    <x v="0"/>
    <x v="0"/>
    <x v="0"/>
    <x v="1"/>
  </r>
  <r>
    <s v="In the last year , have you ever drunk alcohol or used drugs more than you meant to?"/>
    <x v="5"/>
    <x v="1"/>
    <x v="1"/>
    <x v="0"/>
    <x v="0"/>
    <x v="0"/>
    <x v="1"/>
  </r>
  <r>
    <s v="Have you felt you wanted or needed to cut down on your drinking or drug use in the last year?"/>
    <x v="5"/>
    <x v="1"/>
    <x v="1"/>
    <x v="0"/>
    <x v="0"/>
    <x v="0"/>
    <x v="1"/>
  </r>
  <r>
    <s v="Has a family member's drinking or drug use ever had a bad effect on your child?"/>
    <x v="5"/>
    <x v="0"/>
    <x v="0"/>
    <x v="0"/>
    <x v="0"/>
    <x v="0"/>
    <x v="0"/>
  </r>
  <r>
    <s v="Within the past 12 months , we worried whether our food would run out before we got money to buy more"/>
    <x v="6"/>
    <x v="0"/>
    <x v="0"/>
    <x v="0"/>
    <x v="0"/>
    <x v="0"/>
    <x v="0"/>
  </r>
  <r>
    <s v="Having little interest or pleasure in doing things?"/>
    <x v="7"/>
    <x v="0"/>
    <x v="0"/>
    <x v="0"/>
    <x v="0"/>
    <x v="0"/>
    <x v="0"/>
  </r>
  <r>
    <s v="Feeling down,depressed, or hopeless?"/>
    <x v="7"/>
    <x v="1"/>
    <x v="1"/>
    <x v="0"/>
    <x v="0"/>
    <x v="0"/>
    <x v="1"/>
  </r>
  <r>
    <s v="In general , how would you describe your relationship with your spouse/partner?"/>
    <x v="8"/>
    <x v="1"/>
    <x v="0"/>
    <x v="1"/>
    <x v="0"/>
    <x v="0"/>
    <x v="2"/>
  </r>
  <r>
    <s v="Do you and your partner work out arguments with:"/>
    <x v="8"/>
    <x v="1"/>
    <x v="0"/>
    <x v="1"/>
    <x v="0"/>
    <x v="0"/>
    <x v="2"/>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r>
    <m/>
    <x v="9"/>
    <x v="1"/>
    <x v="0"/>
    <x v="0"/>
    <x v="0"/>
    <x v="0"/>
    <x v="3"/>
  </r>
</pivotCacheRecords>
</file>

<file path=xl/pivotCache/pivotCacheRecords2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s v="Holds head steady when being pulled up to a sitting position"/>
    <x v="0"/>
    <n v="0"/>
    <m/>
    <m/>
    <m/>
    <m/>
    <n v="0"/>
  </r>
  <r>
    <s v="Brings hand together"/>
    <x v="0"/>
    <n v="0"/>
    <m/>
    <m/>
    <m/>
    <m/>
    <n v="0"/>
  </r>
  <r>
    <s v="Laughs"/>
    <x v="0"/>
    <n v="0"/>
    <m/>
    <m/>
    <m/>
    <m/>
    <n v="0"/>
  </r>
  <r>
    <s v="Keeps head steady when held in a sitting position"/>
    <x v="0"/>
    <n v="0"/>
    <m/>
    <m/>
    <m/>
    <m/>
    <n v="0"/>
  </r>
  <r>
    <s v="Makes sounds like 'ga','ma,'ba'"/>
    <x v="0"/>
    <n v="0"/>
    <m/>
    <m/>
    <m/>
    <m/>
    <n v="0"/>
  </r>
  <r>
    <s v="Looks when you call his or her name"/>
    <x v="0"/>
    <n v="0"/>
    <m/>
    <m/>
    <m/>
    <m/>
    <n v="0"/>
  </r>
  <r>
    <s v="Rolls over"/>
    <x v="0"/>
    <n v="0"/>
    <m/>
    <m/>
    <m/>
    <m/>
    <n v="0"/>
  </r>
  <r>
    <s v="Passes a toy from one hand to the other"/>
    <x v="0"/>
    <n v="0"/>
    <m/>
    <m/>
    <m/>
    <m/>
    <n v="0"/>
  </r>
  <r>
    <s v="Looks for you or another caregiver when upset"/>
    <x v="0"/>
    <n v="0"/>
    <m/>
    <m/>
    <m/>
    <m/>
    <n v="0"/>
  </r>
  <r>
    <s v="Holds two objects and bangs them together"/>
    <x v="0"/>
    <n v="0"/>
    <m/>
    <m/>
    <m/>
    <m/>
    <n v="0"/>
  </r>
  <r>
    <s v="Does your child have a hard time being with new people?"/>
    <x v="1"/>
    <m/>
    <n v="1"/>
    <m/>
    <m/>
    <m/>
    <n v="1"/>
  </r>
  <r>
    <s v="Does your child have a hard time in new places?"/>
    <x v="1"/>
    <m/>
    <n v="1"/>
    <m/>
    <m/>
    <m/>
    <n v="1"/>
  </r>
  <r>
    <s v="Does your child have a hard time with change?"/>
    <x v="1"/>
    <m/>
    <n v="1"/>
    <m/>
    <m/>
    <m/>
    <n v="1"/>
  </r>
  <r>
    <s v="Does your child mind being held by other people?"/>
    <x v="1"/>
    <m/>
    <n v="1"/>
    <m/>
    <m/>
    <m/>
    <n v="1"/>
  </r>
  <r>
    <s v="Does your child cry a lot?"/>
    <x v="2"/>
    <m/>
    <n v="1"/>
    <m/>
    <m/>
    <m/>
    <n v="1"/>
  </r>
  <r>
    <s v="Does your child have a hard time calming down?"/>
    <x v="2"/>
    <m/>
    <n v="1"/>
    <m/>
    <m/>
    <m/>
    <n v="1"/>
  </r>
  <r>
    <s v="Is your child fussy or irritable?"/>
    <x v="2"/>
    <m/>
    <n v="1"/>
    <m/>
    <m/>
    <m/>
    <n v="1"/>
  </r>
  <r>
    <s v="Is it hard to comfort your child?"/>
    <x v="2"/>
    <m/>
    <n v="1"/>
    <m/>
    <m/>
    <m/>
    <n v="1"/>
  </r>
  <r>
    <s v="Is it hard to keep your child on a schedule or routine?"/>
    <x v="3"/>
    <m/>
    <n v="1"/>
    <m/>
    <m/>
    <m/>
    <n v="1"/>
  </r>
  <r>
    <s v="Is it hard to put your child to sleep?"/>
    <x v="3"/>
    <m/>
    <n v="1"/>
    <m/>
    <m/>
    <m/>
    <n v="1"/>
  </r>
  <r>
    <s v="Is it hard to get enough sleep because of your child?"/>
    <x v="3"/>
    <m/>
    <n v="1"/>
    <m/>
    <m/>
    <m/>
    <n v="1"/>
  </r>
  <r>
    <s v="Does your child have trouble staying asleep?"/>
    <x v="3"/>
    <m/>
    <n v="1"/>
    <m/>
    <m/>
    <m/>
    <n v="1"/>
  </r>
  <r>
    <s v="Does anyone who lives with child smoke tobacco?"/>
    <x v="4"/>
    <m/>
    <n v="1"/>
    <m/>
    <m/>
    <m/>
    <n v="1"/>
  </r>
  <r>
    <s v="In the last year , have you ever drunk alcohol or used drugs more than you meant to?"/>
    <x v="5"/>
    <n v="0"/>
    <m/>
    <m/>
    <m/>
    <m/>
    <n v="0"/>
  </r>
  <r>
    <s v="Have you felt you wanted or needed to cut down on your drinking or drug use in the last year?"/>
    <x v="5"/>
    <m/>
    <n v="1"/>
    <m/>
    <m/>
    <m/>
    <n v="1"/>
  </r>
  <r>
    <s v="Has a family member's drinking or drug use ever had a bad effect on your child?"/>
    <x v="5"/>
    <n v="0"/>
    <m/>
    <m/>
    <m/>
    <m/>
    <n v="0"/>
  </r>
  <r>
    <s v="Within the past 12 months , we worried whether our food would run out before we got money to buy more"/>
    <x v="6"/>
    <m/>
    <n v="1"/>
    <m/>
    <m/>
    <m/>
    <n v="1"/>
  </r>
  <r>
    <s v="Having little interest or pleasure in doing things?"/>
    <x v="7"/>
    <m/>
    <n v="1"/>
    <m/>
    <m/>
    <m/>
    <n v="1"/>
  </r>
  <r>
    <s v="Feeling down,depressed, or hopeless?"/>
    <x v="7"/>
    <m/>
    <n v="1"/>
    <m/>
    <m/>
    <m/>
    <n v="1"/>
  </r>
  <r>
    <s v="In general , how would you describe your relationship with your spouse/partner?"/>
    <x v="8"/>
    <m/>
    <n v="1"/>
    <m/>
    <m/>
    <m/>
    <n v="1"/>
  </r>
  <r>
    <s v="Do you and your partner work out arguments with:"/>
    <x v="8"/>
    <m/>
    <n v="1"/>
    <m/>
    <m/>
    <m/>
    <n v="1"/>
  </r>
  <r>
    <m/>
    <x v="9"/>
    <m/>
    <m/>
    <m/>
    <m/>
    <m/>
    <m/>
  </r>
</pivotCacheRecords>
</file>

<file path=xl/pivotCache/pivotCacheRecords2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s v="Makes sounds like 'ga','ma,'ba'"/>
    <x v="0"/>
    <n v="0"/>
    <m/>
    <m/>
    <m/>
    <m/>
    <n v="0"/>
  </r>
  <r>
    <s v="Looks when you call his or her name"/>
    <x v="0"/>
    <n v="0"/>
    <m/>
    <m/>
    <m/>
    <m/>
    <n v="0"/>
  </r>
  <r>
    <s v="Rolls over"/>
    <x v="0"/>
    <n v="0"/>
    <m/>
    <m/>
    <m/>
    <m/>
    <n v="0"/>
  </r>
  <r>
    <s v="Passes a toy from one hand to the other"/>
    <x v="0"/>
    <n v="0"/>
    <m/>
    <m/>
    <m/>
    <m/>
    <n v="0"/>
  </r>
  <r>
    <s v="Looks for you or another caregiver when upset"/>
    <x v="0"/>
    <n v="0"/>
    <m/>
    <m/>
    <m/>
    <m/>
    <n v="0"/>
  </r>
  <r>
    <s v="Holds two objects and bangs them together"/>
    <x v="0"/>
    <n v="0"/>
    <m/>
    <m/>
    <m/>
    <m/>
    <n v="0"/>
  </r>
  <r>
    <s v="Holds up arms to be picked up"/>
    <x v="0"/>
    <n v="0"/>
    <m/>
    <m/>
    <m/>
    <m/>
    <n v="0"/>
  </r>
  <r>
    <s v="Gets into a sitting position by him or herself"/>
    <x v="0"/>
    <n v="0"/>
    <m/>
    <m/>
    <m/>
    <m/>
    <n v="0"/>
  </r>
  <r>
    <s v="Picks up food and eats it"/>
    <x v="0"/>
    <n v="0"/>
    <m/>
    <m/>
    <m/>
    <m/>
    <n v="0"/>
  </r>
  <r>
    <s v="Pulls up to standing"/>
    <x v="0"/>
    <n v="0"/>
    <m/>
    <m/>
    <m/>
    <m/>
    <n v="0"/>
  </r>
  <r>
    <s v="Does your child have a hard time being with new people?"/>
    <x v="1"/>
    <m/>
    <n v="1"/>
    <m/>
    <m/>
    <m/>
    <n v="1"/>
  </r>
  <r>
    <s v="Does your child have a hard time in new places?"/>
    <x v="1"/>
    <m/>
    <n v="1"/>
    <m/>
    <m/>
    <m/>
    <n v="1"/>
  </r>
  <r>
    <s v="Does your child have a hard time with change?"/>
    <x v="1"/>
    <m/>
    <n v="1"/>
    <m/>
    <m/>
    <m/>
    <n v="1"/>
  </r>
  <r>
    <s v="Does your child mind being held by other people?"/>
    <x v="1"/>
    <m/>
    <n v="1"/>
    <m/>
    <m/>
    <m/>
    <n v="1"/>
  </r>
  <r>
    <s v="Does your child cry a lot?"/>
    <x v="2"/>
    <m/>
    <n v="1"/>
    <m/>
    <m/>
    <m/>
    <n v="1"/>
  </r>
  <r>
    <s v="Does your child have a hard time calming down?"/>
    <x v="2"/>
    <m/>
    <n v="1"/>
    <m/>
    <m/>
    <m/>
    <n v="1"/>
  </r>
  <r>
    <s v="Is your child fussy or irritable?"/>
    <x v="2"/>
    <m/>
    <n v="1"/>
    <m/>
    <m/>
    <m/>
    <n v="1"/>
  </r>
  <r>
    <s v="Is it hard to comfort your child?"/>
    <x v="2"/>
    <m/>
    <n v="1"/>
    <m/>
    <m/>
    <m/>
    <n v="1"/>
  </r>
  <r>
    <s v="Is it hard to keep your child on a schedule or routine?"/>
    <x v="3"/>
    <m/>
    <n v="1"/>
    <m/>
    <m/>
    <m/>
    <n v="1"/>
  </r>
  <r>
    <s v="Is it hard to put your child to sleep?"/>
    <x v="3"/>
    <m/>
    <n v="1"/>
    <m/>
    <m/>
    <m/>
    <n v="1"/>
  </r>
  <r>
    <s v="Is it hard to get enough sleep because of your child?"/>
    <x v="3"/>
    <m/>
    <n v="1"/>
    <m/>
    <m/>
    <m/>
    <n v="1"/>
  </r>
  <r>
    <s v="Does your child have trouble staying asleep?"/>
    <x v="3"/>
    <m/>
    <n v="1"/>
    <m/>
    <m/>
    <m/>
    <n v="1"/>
  </r>
  <r>
    <s v="Does anyone who lives with child smoke tobacco?"/>
    <x v="4"/>
    <m/>
    <n v="1"/>
    <m/>
    <m/>
    <m/>
    <n v="1"/>
  </r>
  <r>
    <s v="In the last year , have you ever drunk alcohol or used drugs more than you meant to?"/>
    <x v="5"/>
    <m/>
    <n v="1"/>
    <m/>
    <m/>
    <m/>
    <n v="1"/>
  </r>
  <r>
    <s v="Have you felt you wanted or needed to cut down on your drinking or drug use in the last year?"/>
    <x v="5"/>
    <m/>
    <n v="1"/>
    <m/>
    <m/>
    <m/>
    <n v="1"/>
  </r>
  <r>
    <s v="Has a family member's drinking or drug use ever had a bad effect on your child?"/>
    <x v="5"/>
    <m/>
    <n v="1"/>
    <m/>
    <m/>
    <m/>
    <n v="1"/>
  </r>
  <r>
    <s v="Within the past 12 months , we worried whether our food would run out before we got money to buy more"/>
    <x v="6"/>
    <m/>
    <n v="1"/>
    <m/>
    <m/>
    <m/>
    <n v="1"/>
  </r>
  <r>
    <s v="Having little interest or pleasure in doing things?"/>
    <x v="7"/>
    <m/>
    <m/>
    <n v="2"/>
    <m/>
    <m/>
    <n v="2"/>
  </r>
  <r>
    <s v="Feeling down,depressed, or hopeless?"/>
    <x v="7"/>
    <m/>
    <m/>
    <n v="2"/>
    <m/>
    <m/>
    <n v="2"/>
  </r>
  <r>
    <s v="In general , how would you describe your relationship with your spouse/partner?"/>
    <x v="8"/>
    <m/>
    <m/>
    <n v="2"/>
    <m/>
    <m/>
    <n v="2"/>
  </r>
  <r>
    <s v="Do you and your partner work out arguments with:"/>
    <x v="8"/>
    <m/>
    <m/>
    <n v="2"/>
    <m/>
    <m/>
    <n v="2"/>
  </r>
  <r>
    <m/>
    <x v="9"/>
    <m/>
    <m/>
    <m/>
    <m/>
    <m/>
    <m/>
  </r>
  <r>
    <m/>
    <x v="9"/>
    <m/>
    <m/>
    <m/>
    <m/>
    <m/>
    <m/>
  </r>
  <r>
    <m/>
    <x v="9"/>
    <m/>
    <m/>
    <m/>
    <m/>
    <m/>
    <m/>
  </r>
</pivotCacheRecords>
</file>

<file path=xl/pivotCache/pivotCacheRecords2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s v="Picks up food and eats it"/>
    <x v="0"/>
    <m/>
    <n v="1"/>
    <m/>
    <m/>
    <m/>
    <n v="1"/>
  </r>
  <r>
    <s v="Pulls up to standing"/>
    <x v="0"/>
    <m/>
    <n v="1"/>
    <m/>
    <m/>
    <m/>
    <n v="1"/>
  </r>
  <r>
    <s v="Plays games like 'peek-a-poo' or 'pat-a-cake'"/>
    <x v="0"/>
    <m/>
    <n v="1"/>
    <m/>
    <m/>
    <m/>
    <n v="1"/>
  </r>
  <r>
    <s v="Calls you 'mama' or 'dada' or similar name"/>
    <x v="0"/>
    <m/>
    <n v="1"/>
    <m/>
    <m/>
    <m/>
    <n v="1"/>
  </r>
  <r>
    <s v="Looks around when you say things like 'Where's your bottle?' or 'Where's your blanket?"/>
    <x v="0"/>
    <m/>
    <n v="1"/>
    <m/>
    <m/>
    <m/>
    <n v="1"/>
  </r>
  <r>
    <s v="Copies sounds that you make"/>
    <x v="0"/>
    <m/>
    <n v="1"/>
    <m/>
    <m/>
    <m/>
    <n v="1"/>
  </r>
  <r>
    <s v="Walks across a room without help"/>
    <x v="0"/>
    <m/>
    <n v="1"/>
    <m/>
    <m/>
    <m/>
    <n v="1"/>
  </r>
  <r>
    <s v="Follows directions - like 'Come here' or 'Give me the ball'"/>
    <x v="0"/>
    <m/>
    <m/>
    <n v="2"/>
    <m/>
    <m/>
    <n v="2"/>
  </r>
  <r>
    <s v="Runs"/>
    <x v="0"/>
    <m/>
    <n v="1"/>
    <m/>
    <m/>
    <m/>
    <n v="1"/>
  </r>
  <r>
    <s v="Does your child have a hard time being with new people?"/>
    <x v="1"/>
    <m/>
    <m/>
    <n v="2"/>
    <m/>
    <m/>
    <n v="2"/>
  </r>
  <r>
    <s v="Does your child have a hard time in new places?"/>
    <x v="1"/>
    <m/>
    <m/>
    <n v="2"/>
    <m/>
    <m/>
    <n v="2"/>
  </r>
  <r>
    <s v="Does your child have a hard time with change?"/>
    <x v="1"/>
    <m/>
    <m/>
    <n v="2"/>
    <m/>
    <m/>
    <n v="2"/>
  </r>
  <r>
    <s v="Does your child mind being held by other people?"/>
    <x v="1"/>
    <m/>
    <m/>
    <n v="2"/>
    <m/>
    <m/>
    <n v="2"/>
  </r>
  <r>
    <s v="Does your child cry a lot?"/>
    <x v="2"/>
    <m/>
    <m/>
    <n v="2"/>
    <m/>
    <m/>
    <n v="2"/>
  </r>
  <r>
    <s v="Does your child have a hard time calming down?"/>
    <x v="2"/>
    <m/>
    <m/>
    <n v="2"/>
    <m/>
    <m/>
    <n v="2"/>
  </r>
  <r>
    <s v="Is your child fussy or irritable?"/>
    <x v="2"/>
    <m/>
    <m/>
    <n v="2"/>
    <m/>
    <m/>
    <n v="2"/>
  </r>
  <r>
    <s v="Is it hard to comfort your child?"/>
    <x v="2"/>
    <m/>
    <m/>
    <n v="2"/>
    <m/>
    <m/>
    <n v="2"/>
  </r>
  <r>
    <s v="Is it hard to keep your child on a schedule or routine?"/>
    <x v="3"/>
    <m/>
    <m/>
    <n v="2"/>
    <m/>
    <m/>
    <n v="2"/>
  </r>
  <r>
    <s v="Is it hard to put your child to sleep?"/>
    <x v="3"/>
    <m/>
    <m/>
    <n v="2"/>
    <m/>
    <m/>
    <n v="2"/>
  </r>
  <r>
    <s v="Is it hard to get enough sleep because of your child?"/>
    <x v="3"/>
    <m/>
    <m/>
    <n v="2"/>
    <m/>
    <m/>
    <n v="2"/>
  </r>
  <r>
    <s v="Does your child have trouble staying asleep?"/>
    <x v="3"/>
    <m/>
    <n v="1"/>
    <m/>
    <m/>
    <m/>
    <n v="1"/>
  </r>
  <r>
    <s v="Does anyone who lives with child smoke tobacco?"/>
    <x v="4"/>
    <n v="0"/>
    <m/>
    <m/>
    <m/>
    <m/>
    <n v="0"/>
  </r>
  <r>
    <s v="In the last year , have you ever drunk alcohol or used drugs more than you meant to?"/>
    <x v="5"/>
    <n v="0"/>
    <m/>
    <m/>
    <m/>
    <m/>
    <n v="0"/>
  </r>
  <r>
    <s v="Have you felt you wanted or needed to cut down on your drinking or drug use in the last year?"/>
    <x v="5"/>
    <m/>
    <n v="1"/>
    <m/>
    <m/>
    <m/>
    <n v="1"/>
  </r>
  <r>
    <s v="Has a family member's drinking or drug use ever had a bad effect on your child?"/>
    <x v="5"/>
    <n v="0"/>
    <m/>
    <m/>
    <m/>
    <m/>
    <n v="0"/>
  </r>
  <r>
    <s v="Within the past 12 months , we worried whether our food would run out before we got money to buy more"/>
    <x v="6"/>
    <m/>
    <m/>
    <n v="2"/>
    <m/>
    <m/>
    <n v="2"/>
  </r>
  <r>
    <s v="Having little interest or pleasure in doing things?"/>
    <x v="7"/>
    <m/>
    <m/>
    <m/>
    <n v="3"/>
    <m/>
    <n v="3"/>
  </r>
  <r>
    <s v="Feeling down,depressed, or hopeless?"/>
    <x v="7"/>
    <m/>
    <m/>
    <m/>
    <n v="3"/>
    <m/>
    <n v="3"/>
  </r>
  <r>
    <s v="In general , how would you describe your relationship with your spouse/partner?"/>
    <x v="8"/>
    <m/>
    <m/>
    <m/>
    <m/>
    <s v="N/A"/>
    <n v="2"/>
  </r>
  <r>
    <s v="Do you and your partner work out arguments with:"/>
    <x v="8"/>
    <m/>
    <m/>
    <m/>
    <m/>
    <s v="N/A"/>
    <n v="2"/>
  </r>
  <r>
    <m/>
    <x v="9"/>
    <m/>
    <m/>
    <m/>
    <m/>
    <m/>
    <m/>
  </r>
</pivotCacheRecords>
</file>

<file path=xl/pivotCache/pivotCacheRecords2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s v="Calls you 'mama' or 'dada' or similar name"/>
    <x v="0"/>
    <n v="0"/>
    <m/>
    <m/>
    <m/>
    <m/>
    <n v="0"/>
  </r>
  <r>
    <s v="Looks around when you say things like 'Where's your bottle?' or 'Where's your blanket?"/>
    <x v="1"/>
    <n v="0"/>
    <m/>
    <m/>
    <m/>
    <m/>
    <n v="0"/>
  </r>
  <r>
    <s v="Copies sounds that you make"/>
    <x v="1"/>
    <n v="0"/>
    <m/>
    <n v="2"/>
    <m/>
    <m/>
    <n v="2"/>
  </r>
  <r>
    <s v="Walks across a room without help"/>
    <x v="1"/>
    <m/>
    <m/>
    <n v="2"/>
    <m/>
    <m/>
    <n v="2"/>
  </r>
  <r>
    <s v="Follows directions - like 'Come here' or 'Give me the ball'"/>
    <x v="1"/>
    <m/>
    <m/>
    <n v="2"/>
    <m/>
    <m/>
    <n v="2"/>
  </r>
  <r>
    <s v="Runs"/>
    <x v="1"/>
    <m/>
    <m/>
    <n v="2"/>
    <m/>
    <m/>
    <n v="2"/>
  </r>
  <r>
    <s v="Walks up stairs with help"/>
    <x v="1"/>
    <m/>
    <m/>
    <n v="2"/>
    <m/>
    <m/>
    <n v="2"/>
  </r>
  <r>
    <s v="Kicks a ball"/>
    <x v="1"/>
    <m/>
    <m/>
    <n v="2"/>
    <m/>
    <m/>
    <n v="2"/>
  </r>
  <r>
    <s v="Names at least 5 familiar objects - like ball or milk"/>
    <x v="1"/>
    <m/>
    <m/>
    <n v="2"/>
    <m/>
    <m/>
    <n v="2"/>
  </r>
  <r>
    <s v="Names at least 5 body parts - like nose , hand , or tummy"/>
    <x v="1"/>
    <m/>
    <m/>
    <n v="2"/>
    <m/>
    <m/>
    <n v="2"/>
  </r>
  <r>
    <s v="Does your child have a hard time being with new people?"/>
    <x v="2"/>
    <m/>
    <n v="1"/>
    <m/>
    <m/>
    <m/>
    <n v="1"/>
  </r>
  <r>
    <s v="Does your child have a hard time in new places?"/>
    <x v="2"/>
    <m/>
    <n v="1"/>
    <m/>
    <m/>
    <m/>
    <n v="1"/>
  </r>
  <r>
    <s v="Does your child have a hard time with change?"/>
    <x v="2"/>
    <m/>
    <n v="1"/>
    <m/>
    <m/>
    <m/>
    <n v="1"/>
  </r>
  <r>
    <s v="Does your child mind being held by other people?"/>
    <x v="2"/>
    <m/>
    <n v="1"/>
    <m/>
    <m/>
    <m/>
    <n v="1"/>
  </r>
  <r>
    <s v="Does your child cry a lot?"/>
    <x v="3"/>
    <n v="0"/>
    <m/>
    <m/>
    <m/>
    <m/>
    <n v="0"/>
  </r>
  <r>
    <s v="Does your child have a hard time calming down?"/>
    <x v="3"/>
    <n v="0"/>
    <m/>
    <m/>
    <m/>
    <m/>
    <n v="0"/>
  </r>
  <r>
    <s v="Is your child fussy or irritable?"/>
    <x v="3"/>
    <n v="0"/>
    <m/>
    <m/>
    <m/>
    <m/>
    <n v="0"/>
  </r>
  <r>
    <s v="Is it hard to comfort your child?"/>
    <x v="3"/>
    <n v="0"/>
    <m/>
    <m/>
    <m/>
    <m/>
    <n v="0"/>
  </r>
  <r>
    <s v="Is it hard to keep your child on a schedule or routine?"/>
    <x v="4"/>
    <m/>
    <m/>
    <n v="2"/>
    <m/>
    <m/>
    <n v="2"/>
  </r>
  <r>
    <s v="Is it hard to put your child to sleep?"/>
    <x v="4"/>
    <m/>
    <m/>
    <n v="2"/>
    <m/>
    <m/>
    <n v="2"/>
  </r>
  <r>
    <s v="Is it hard to get enough sleep because of your child?"/>
    <x v="4"/>
    <m/>
    <m/>
    <n v="2"/>
    <m/>
    <m/>
    <n v="2"/>
  </r>
  <r>
    <s v="Does your child have trouble staying asleep?"/>
    <x v="4"/>
    <m/>
    <m/>
    <n v="2"/>
    <m/>
    <m/>
    <n v="2"/>
  </r>
  <r>
    <s v="Does anyone who lives with child smoke tobacco?"/>
    <x v="5"/>
    <m/>
    <n v="1"/>
    <m/>
    <m/>
    <m/>
    <n v="1"/>
  </r>
  <r>
    <s v="In the last year , have you ever drunk alcohol or used drugs more than you meant to?"/>
    <x v="6"/>
    <m/>
    <n v="1"/>
    <m/>
    <m/>
    <m/>
    <n v="1"/>
  </r>
  <r>
    <s v="Have you felt you wanted or needed to cut down on your drinking or drug use in the last year?"/>
    <x v="6"/>
    <m/>
    <n v="1"/>
    <m/>
    <m/>
    <m/>
    <n v="1"/>
  </r>
  <r>
    <s v="Has a family member's drinking or drug use ever had a bad effect on your child?"/>
    <x v="6"/>
    <n v="0"/>
    <m/>
    <m/>
    <m/>
    <m/>
    <n v="0"/>
  </r>
  <r>
    <s v="Within the past 12 months , we worried whether our food would run out before we got money to buy more"/>
    <x v="7"/>
    <m/>
    <m/>
    <n v="2"/>
    <m/>
    <m/>
    <n v="2"/>
  </r>
  <r>
    <s v="Having little interest or pleasure in doing things?"/>
    <x v="8"/>
    <m/>
    <m/>
    <m/>
    <n v="3"/>
    <m/>
    <n v="3"/>
  </r>
  <r>
    <s v="Feeling down,depressed, or hopeless?"/>
    <x v="8"/>
    <m/>
    <m/>
    <m/>
    <m/>
    <s v="N/A"/>
    <n v="0"/>
  </r>
  <r>
    <s v="Do you and your partner work out arguments with:"/>
    <x v="9"/>
    <m/>
    <m/>
    <m/>
    <n v="3"/>
    <m/>
    <n v="3"/>
  </r>
  <r>
    <m/>
    <x v="0"/>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274507-54CB-4C93-ABFC-A3B22CA8A2CF}" name="PivotTable1" cacheId="218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Q4:U13" firstHeaderRow="0" firstDataRow="1" firstDataCol="1"/>
  <pivotFields count="8">
    <pivotField compact="0" outline="0" showAll="0"/>
    <pivotField dataField="1" compact="0" outline="0" showAll="0"/>
    <pivotField dataField="1" compact="0" outline="0" showAll="0"/>
    <pivotField dataField="1" compact="0" outline="0" showAll="0"/>
    <pivotField dataField="1" compact="0" outline="0" showAll="0"/>
    <pivotField compact="0" outline="0" showAll="0"/>
    <pivotField axis="axisRow" compact="0" outline="0" showAll="0">
      <items count="9">
        <item x="5"/>
        <item x="4"/>
        <item x="2"/>
        <item x="1"/>
        <item x="7"/>
        <item x="3"/>
        <item x="6"/>
        <item x="0"/>
        <item t="default"/>
      </items>
    </pivotField>
    <pivotField compact="0" outline="0" showAll="0"/>
  </pivotFields>
  <rowFields count="1">
    <field x="6"/>
  </rowFields>
  <rowItems count="9">
    <i>
      <x/>
    </i>
    <i>
      <x v="1"/>
    </i>
    <i>
      <x v="2"/>
    </i>
    <i>
      <x v="3"/>
    </i>
    <i>
      <x v="4"/>
    </i>
    <i>
      <x v="5"/>
    </i>
    <i>
      <x v="6"/>
    </i>
    <i>
      <x v="7"/>
    </i>
    <i t="grand">
      <x/>
    </i>
  </rowItems>
  <colFields count="1">
    <field x="-2"/>
  </colFields>
  <colItems count="4">
    <i>
      <x/>
    </i>
    <i i="1">
      <x v="1"/>
    </i>
    <i i="2">
      <x v="2"/>
    </i>
    <i i="3">
      <x v="3"/>
    </i>
  </colItems>
  <dataFields count="4">
    <dataField name="Count of Never or not at all   (0)" fld="1" subtotal="count" baseField="0" baseItem="0"/>
    <dataField name="Count of Sometimes or somewhat  (1)" fld="2" subtotal="count" baseField="0" baseItem="0"/>
    <dataField name="Count of Often or much  (2)" fld="3" subtotal="count" baseField="0" baseItem="0"/>
    <dataField name="Count of Very often or very much (3)"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98816F-0DE8-4A3A-B959-3C630CD3C749}" name="PivotTable1" cacheId="218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S3:T12" firstHeaderRow="1" firstDataRow="1" firstDataCol="1"/>
  <pivotFields count="2">
    <pivotField axis="axisRow" compact="0" outline="0" showAll="0">
      <items count="9">
        <item x="6"/>
        <item x="4"/>
        <item x="3"/>
        <item x="1"/>
        <item x="0"/>
        <item x="2"/>
        <item x="5"/>
        <item x="7"/>
        <item t="default"/>
      </items>
    </pivotField>
    <pivotField dataField="1" compact="0" outline="0" showAll="0"/>
  </pivotFields>
  <rowFields count="1">
    <field x="0"/>
  </rowFields>
  <rowItems count="9">
    <i>
      <x/>
    </i>
    <i>
      <x v="1"/>
    </i>
    <i>
      <x v="2"/>
    </i>
    <i>
      <x v="3"/>
    </i>
    <i>
      <x v="4"/>
    </i>
    <i>
      <x v="5"/>
    </i>
    <i>
      <x v="6"/>
    </i>
    <i>
      <x v="7"/>
    </i>
    <i t="grand">
      <x/>
    </i>
  </rowItems>
  <colItems count="1">
    <i/>
  </colItems>
  <dataFields count="1">
    <dataField name="Sum of Result_Count" fld="1" baseField="0" baseItem="0"/>
  </dataFields>
  <formats count="6">
    <format dxfId="106">
      <pivotArea type="all" dataOnly="0" outline="0" fieldPosition="0"/>
    </format>
    <format dxfId="107">
      <pivotArea outline="0" collapsedLevelsAreSubtotals="1" fieldPosition="0"/>
    </format>
    <format dxfId="108">
      <pivotArea field="0" type="button" dataOnly="0" labelOnly="1" outline="0" axis="axisRow" fieldPosition="0"/>
    </format>
    <format dxfId="109">
      <pivotArea dataOnly="0" labelOnly="1" outline="0" fieldPosition="0">
        <references count="1">
          <reference field="0" count="0"/>
        </references>
      </pivotArea>
    </format>
    <format dxfId="110">
      <pivotArea dataOnly="0" labelOnly="1" grandRow="1" outline="0" fieldPosition="0"/>
    </format>
    <format dxfId="1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B548CF-1BAC-4AE4-A34C-4C7B056F19B0}" name="PivotTable7" cacheId="21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7:R14" firstHeaderRow="1" firstDataRow="2" firstDataCol="1"/>
  <pivotFields count="3">
    <pivotField showAll="0"/>
    <pivotField axis="axisRow" dataField="1" showAll="0">
      <items count="6">
        <item x="2"/>
        <item x="0"/>
        <item x="1"/>
        <item x="3"/>
        <item x="4"/>
        <item t="default"/>
      </items>
    </pivotField>
    <pivotField axis="axisCol" showAll="0">
      <items count="8">
        <item x="5"/>
        <item x="2"/>
        <item x="3"/>
        <item x="0"/>
        <item x="6"/>
        <item x="1"/>
        <item x="4"/>
        <item t="default"/>
      </items>
    </pivotField>
  </pivotFields>
  <rowFields count="1">
    <field x="1"/>
  </rowFields>
  <rowItems count="6">
    <i>
      <x/>
    </i>
    <i>
      <x v="1"/>
    </i>
    <i>
      <x v="2"/>
    </i>
    <i>
      <x v="3"/>
    </i>
    <i>
      <x v="4"/>
    </i>
    <i t="grand">
      <x/>
    </i>
  </rowItems>
  <colFields count="1">
    <field x="2"/>
  </colFields>
  <colItems count="8">
    <i>
      <x/>
    </i>
    <i>
      <x v="1"/>
    </i>
    <i>
      <x v="2"/>
    </i>
    <i>
      <x v="3"/>
    </i>
    <i>
      <x v="4"/>
    </i>
    <i>
      <x v="5"/>
    </i>
    <i>
      <x v="6"/>
    </i>
    <i t="grand">
      <x/>
    </i>
  </colItems>
  <dataFields count="1">
    <dataField name="Count of Diagnosis" fld="1" subtotal="count" baseField="1" baseItem="2"/>
  </dataFields>
  <formats count="3">
    <format dxfId="103">
      <pivotArea dataOnly="0" fieldPosition="0">
        <references count="1">
          <reference field="2" count="0"/>
        </references>
      </pivotArea>
    </format>
    <format dxfId="104">
      <pivotArea collapsedLevelsAreSubtotals="1" fieldPosition="0">
        <references count="2">
          <reference field="1" count="0"/>
          <reference field="2" count="0" selected="0"/>
        </references>
      </pivotArea>
    </format>
    <format dxfId="105">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68693E-E065-42B9-8C42-D3437FEF28DF}" name="PivotTable4" cacheId="2178" applyNumberFormats="0" applyBorderFormats="0" applyFontFormats="0" applyPatternFormats="0" applyAlignmentFormats="0" applyWidthHeightFormats="1" dataCaption="Values" grandTotalCaption="Total Difficulties Score" updatedVersion="8" minRefreshableVersion="3" useAutoFormatting="1" itemPrintTitles="1" createdVersion="8" indent="0" outline="1" outlineData="1" multipleFieldFilters="0">
  <location ref="L18:N24" firstHeaderRow="0" firstDataRow="1" firstDataCol="1"/>
  <pivotFields count="8">
    <pivotField showAll="0"/>
    <pivotField showAll="0"/>
    <pivotField axis="axisRow" showAll="0">
      <items count="6">
        <item x="3"/>
        <item x="2"/>
        <item x="1"/>
        <item x="4"/>
        <item x="0"/>
        <item t="default"/>
      </items>
    </pivotField>
    <pivotField showAll="0"/>
    <pivotField showAll="0"/>
    <pivotField showAll="0"/>
    <pivotField dataField="1" showAll="0"/>
    <pivotField dataField="1" showAll="0"/>
  </pivotFields>
  <rowFields count="1">
    <field x="2"/>
  </rowFields>
  <rowItems count="6">
    <i>
      <x/>
    </i>
    <i>
      <x v="1"/>
    </i>
    <i>
      <x v="2"/>
    </i>
    <i>
      <x v="3"/>
    </i>
    <i>
      <x v="4"/>
    </i>
    <i t="grand">
      <x/>
    </i>
  </rowItems>
  <colFields count="1">
    <field x="-2"/>
  </colFields>
  <colItems count="2">
    <i>
      <x/>
    </i>
    <i i="1">
      <x v="1"/>
    </i>
  </colItems>
  <dataFields count="2">
    <dataField name="Sum of Final Result(Father)" fld="7" baseField="0" baseItem="0"/>
    <dataField name="Sum of Final Result(mother)" fld="6" baseField="0" baseItem="0"/>
  </dataFields>
  <formats count="3">
    <format dxfId="100">
      <pivotArea dataOnly="0" fieldPosition="0">
        <references count="1">
          <reference field="2" count="0"/>
        </references>
      </pivotArea>
    </format>
    <format dxfId="101">
      <pivotArea grandRow="1" outline="0" collapsedLevelsAreSubtotals="1" fieldPosition="0"/>
    </format>
    <format dxfId="10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B1BCF2-8743-4AC2-8B58-73D5A95F7F43}" name="PivotTable6" cacheId="21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6:P22" firstHeaderRow="0" firstDataRow="1" firstDataCol="1"/>
  <pivotFields count="8">
    <pivotField showAll="0"/>
    <pivotField showAll="0"/>
    <pivotField axis="axisRow" showAll="0">
      <items count="6">
        <item x="3"/>
        <item x="2"/>
        <item x="1"/>
        <item x="4"/>
        <item x="0"/>
        <item t="default"/>
      </items>
    </pivotField>
    <pivotField showAll="0"/>
    <pivotField showAll="0"/>
    <pivotField showAll="0"/>
    <pivotField dataField="1" showAll="0"/>
    <pivotField dataField="1" showAll="0"/>
  </pivotFields>
  <rowFields count="1">
    <field x="2"/>
  </rowFields>
  <rowItems count="6">
    <i>
      <x/>
    </i>
    <i>
      <x v="1"/>
    </i>
    <i>
      <x v="2"/>
    </i>
    <i>
      <x v="3"/>
    </i>
    <i>
      <x v="4"/>
    </i>
    <i t="grand">
      <x/>
    </i>
  </rowItems>
  <colFields count="1">
    <field x="-2"/>
  </colFields>
  <colItems count="2">
    <i>
      <x/>
    </i>
    <i i="1">
      <x v="1"/>
    </i>
  </colItems>
  <dataFields count="2">
    <dataField name="Sum of Final Result(mother)" fld="6" baseField="0" baseItem="0"/>
    <dataField name="Sum of Final Result(Father)"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43637E-5FB3-435F-B940-A6ABCBE376CB}" name="PivotTable2" cacheId="2189" applyNumberFormats="0" applyBorderFormats="0" applyFontFormats="0" applyPatternFormats="0" applyAlignmentFormats="0" applyWidthHeightFormats="1" dataCaption="Values" grandTotalCaption="Total anxiety and depression" updatedVersion="8" minRefreshableVersion="3" useAutoFormatting="1" itemPrintTitles="1" createdVersion="8" indent="0" compact="0" compactData="0" multipleFieldFilters="0">
  <location ref="U17:V25" firstHeaderRow="1" firstDataRow="1" firstDataCol="1"/>
  <pivotFields count="3">
    <pivotField axis="axisRow" compact="0" outline="0" showAll="0">
      <items count="8">
        <item x="0"/>
        <item x="1"/>
        <item x="5"/>
        <item x="2"/>
        <item x="4"/>
        <item x="3"/>
        <item x="6"/>
        <item t="default"/>
      </items>
    </pivotField>
    <pivotField compact="0" outline="0" showAll="0">
      <items count="8">
        <item x="4"/>
        <item x="0"/>
        <item x="3"/>
        <item x="5"/>
        <item x="1"/>
        <item x="2"/>
        <item x="6"/>
        <item t="default"/>
      </items>
    </pivotField>
    <pivotField dataField="1" compact="0" outline="0" showAll="0"/>
  </pivotFields>
  <rowFields count="1">
    <field x="0"/>
  </rowFields>
  <rowItems count="8">
    <i>
      <x/>
    </i>
    <i>
      <x v="1"/>
    </i>
    <i>
      <x v="2"/>
    </i>
    <i>
      <x v="3"/>
    </i>
    <i>
      <x v="4"/>
    </i>
    <i>
      <x v="5"/>
    </i>
    <i>
      <x v="6"/>
    </i>
    <i t="grand">
      <x/>
    </i>
  </rowItems>
  <colItems count="1">
    <i/>
  </colItems>
  <dataFields count="1">
    <dataField name="Sum of Value" fld="2" baseField="0" baseItem="0"/>
  </dataFields>
  <formats count="6">
    <format dxfId="94">
      <pivotArea dataOnly="0" labelOnly="1" grandRow="1" outline="0" fieldPosition="0"/>
    </format>
    <format dxfId="95">
      <pivotArea dataOnly="0" labelOnly="1" grandRow="1" outline="0" fieldPosition="0"/>
    </format>
    <format dxfId="96">
      <pivotArea outline="0" fieldPosition="0">
        <references count="1">
          <reference field="0" count="0" selected="0"/>
        </references>
      </pivotArea>
    </format>
    <format dxfId="97">
      <pivotArea dataOnly="0" labelOnly="1" outline="0" fieldPosition="0">
        <references count="1">
          <reference field="0" count="0"/>
        </references>
      </pivotArea>
    </format>
    <format dxfId="98">
      <pivotArea grandRow="1" outline="0" collapsedLevelsAreSubtotals="1" fieldPosition="0"/>
    </format>
    <format dxfId="9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CDAC52-8C10-424C-B4DE-297A771832E9}" name="PivotTable5" cacheId="2190" applyNumberFormats="0" applyBorderFormats="0" applyFontFormats="0" applyPatternFormats="0" applyAlignmentFormats="0" applyWidthHeightFormats="1" dataCaption="Values" grandTotalCaption="Grand Total Anxiety and Depression/Total internalizing scale" updatedVersion="8" minRefreshableVersion="3" useAutoFormatting="1" itemPrintTitles="1" createdVersion="8" indent="0" outline="1" outlineData="1" multipleFieldFilters="0">
  <location ref="Y4:AA12" firstHeaderRow="0" firstDataRow="1" firstDataCol="1"/>
  <pivotFields count="4">
    <pivotField axis="axisRow" showAll="0">
      <items count="8">
        <item x="0"/>
        <item x="1"/>
        <item x="5"/>
        <item x="2"/>
        <item x="4"/>
        <item x="3"/>
        <item x="6"/>
        <item t="default"/>
      </items>
    </pivotField>
    <pivotField showAll="0"/>
    <pivotField dataField="1" showAll="0"/>
    <pivotField dataField="1" showAll="0"/>
  </pivotFields>
  <rowFields count="1">
    <field x="0"/>
  </rowFields>
  <rowItems count="8">
    <i>
      <x/>
    </i>
    <i>
      <x v="1"/>
    </i>
    <i>
      <x v="2"/>
    </i>
    <i>
      <x v="3"/>
    </i>
    <i>
      <x v="4"/>
    </i>
    <i>
      <x v="5"/>
    </i>
    <i>
      <x v="6"/>
    </i>
    <i t="grand">
      <x/>
    </i>
  </rowItems>
  <colFields count="1">
    <field x="-2"/>
  </colFields>
  <colItems count="2">
    <i>
      <x/>
    </i>
    <i i="1">
      <x v="1"/>
    </i>
  </colItems>
  <dataFields count="2">
    <dataField name="Sum of Value" fld="2" baseField="0" baseItem="0"/>
    <dataField name="Sum of Value 2" fld="3" baseField="0" baseItem="0"/>
  </dataFields>
  <formats count="7">
    <format dxfId="87">
      <pivotArea type="all" dataOnly="0" outline="0" fieldPosition="0"/>
    </format>
    <format dxfId="88">
      <pivotArea outline="0" collapsedLevelsAreSubtotals="1" fieldPosition="0"/>
    </format>
    <format dxfId="89">
      <pivotArea field="0" type="button" dataOnly="0" labelOnly="1" outline="0" axis="axisRow" fieldPosition="0"/>
    </format>
    <format dxfId="90">
      <pivotArea dataOnly="0" labelOnly="1" fieldPosition="0">
        <references count="1">
          <reference field="0" count="0"/>
        </references>
      </pivotArea>
    </format>
    <format dxfId="91">
      <pivotArea dataOnly="0" labelOnly="1" grandRow="1" outline="0" fieldPosition="0"/>
    </format>
    <format dxfId="92">
      <pivotArea dataOnly="0" labelOnly="1" outline="0" fieldPosition="0">
        <references count="1">
          <reference field="4294967294" count="2">
            <x v="0"/>
            <x v="1"/>
          </reference>
        </references>
      </pivotArea>
    </format>
    <format dxfId="9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4E941C-F658-4547-A774-64A07B84A4D9}" name="PivotTable3" cacheId="2191" applyNumberFormats="0" applyBorderFormats="0" applyFontFormats="0" applyPatternFormats="0" applyAlignmentFormats="0" applyWidthHeightFormats="1" dataCaption="Values" grandTotalCaption="Grand Total Anxiety and Depression/Total internalizing scale" updatedVersion="8" minRefreshableVersion="3" useAutoFormatting="1" itemPrintTitles="1" createdVersion="8" indent="0" outline="1" outlineData="1" multipleFieldFilters="0">
  <location ref="U6:V14" firstHeaderRow="1" firstDataRow="1" firstDataCol="1"/>
  <pivotFields count="3">
    <pivotField axis="axisRow" showAll="0">
      <items count="8">
        <item x="0"/>
        <item x="1"/>
        <item x="5"/>
        <item x="2"/>
        <item x="4"/>
        <item x="3"/>
        <item x="6"/>
        <item t="default"/>
      </items>
    </pivotField>
    <pivotField showAll="0"/>
    <pivotField dataField="1" showAll="0"/>
  </pivotFields>
  <rowFields count="1">
    <field x="0"/>
  </rowFields>
  <rowItems count="8">
    <i>
      <x/>
    </i>
    <i>
      <x v="1"/>
    </i>
    <i>
      <x v="2"/>
    </i>
    <i>
      <x v="3"/>
    </i>
    <i>
      <x v="4"/>
    </i>
    <i>
      <x v="5"/>
    </i>
    <i>
      <x v="6"/>
    </i>
    <i t="grand">
      <x/>
    </i>
  </rowItems>
  <colItems count="1">
    <i/>
  </colItems>
  <dataFields count="1">
    <dataField name="Sum of Value" fld="2" baseField="0" baseItem="0"/>
  </dataFields>
  <formats count="9">
    <format dxfId="78">
      <pivotArea type="all" dataOnly="0" outline="0" fieldPosition="0"/>
    </format>
    <format dxfId="79">
      <pivotArea outline="0" collapsedLevelsAreSubtotals="1" fieldPosition="0"/>
    </format>
    <format dxfId="80">
      <pivotArea field="0" type="button" dataOnly="0" labelOnly="1" outline="0" axis="axisRow" fieldPosition="0"/>
    </format>
    <format dxfId="81">
      <pivotArea dataOnly="0" labelOnly="1" fieldPosition="0">
        <references count="1">
          <reference field="0" count="0"/>
        </references>
      </pivotArea>
    </format>
    <format dxfId="82">
      <pivotArea dataOnly="0" labelOnly="1" grandRow="1" outline="0" fieldPosition="0"/>
    </format>
    <format dxfId="83">
      <pivotArea dataOnly="0" labelOnly="1" outline="0" axis="axisValues" fieldPosition="0"/>
    </format>
    <format dxfId="84">
      <pivotArea field="0" type="button" dataOnly="0" labelOnly="1" outline="0" axis="axisRow" fieldPosition="0"/>
    </format>
    <format dxfId="85">
      <pivotArea dataOnly="0" labelOnly="1" fieldPosition="0">
        <references count="1">
          <reference field="0" count="0"/>
        </references>
      </pivotArea>
    </format>
    <format dxfId="8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B24DD65-2912-40F7-97C9-B14F5AB81881}" name="PivotTable5" cacheId="2190" applyNumberFormats="0" applyBorderFormats="0" applyFontFormats="0" applyPatternFormats="0" applyAlignmentFormats="0" applyWidthHeightFormats="1" dataCaption="Values" grandTotalCaption="Grand Total Anxiety and Depression/Total internalizing scale" updatedVersion="8" minRefreshableVersion="3" useAutoFormatting="1" itemPrintTitles="1" createdVersion="8" indent="0" outline="1" outlineData="1" multipleFieldFilters="0">
  <location ref="Y4:AA12" firstHeaderRow="0" firstDataRow="1" firstDataCol="1"/>
  <pivotFields count="4">
    <pivotField axis="axisRow" showAll="0">
      <items count="8">
        <item x="0"/>
        <item x="1"/>
        <item x="5"/>
        <item x="2"/>
        <item x="4"/>
        <item x="3"/>
        <item x="6"/>
        <item t="default"/>
      </items>
    </pivotField>
    <pivotField showAll="0"/>
    <pivotField dataField="1" showAll="0"/>
    <pivotField dataField="1" showAll="0"/>
  </pivotFields>
  <rowFields count="1">
    <field x="0"/>
  </rowFields>
  <rowItems count="8">
    <i>
      <x/>
    </i>
    <i>
      <x v="1"/>
    </i>
    <i>
      <x v="2"/>
    </i>
    <i>
      <x v="3"/>
    </i>
    <i>
      <x v="4"/>
    </i>
    <i>
      <x v="5"/>
    </i>
    <i>
      <x v="6"/>
    </i>
    <i t="grand">
      <x/>
    </i>
  </rowItems>
  <colFields count="1">
    <field x="-2"/>
  </colFields>
  <colItems count="2">
    <i>
      <x/>
    </i>
    <i i="1">
      <x v="1"/>
    </i>
  </colItems>
  <dataFields count="2">
    <dataField name="Sum of Value" fld="2" baseField="0" baseItem="0"/>
    <dataField name="Sum of Value 2" fld="3" baseField="0" baseItem="0"/>
  </dataFields>
  <formats count="7">
    <format dxfId="71">
      <pivotArea type="all" dataOnly="0" outline="0" fieldPosition="0"/>
    </format>
    <format dxfId="72">
      <pivotArea outline="0" collapsedLevelsAreSubtotals="1" fieldPosition="0"/>
    </format>
    <format dxfId="73">
      <pivotArea field="0" type="button" dataOnly="0" labelOnly="1" outline="0" axis="axisRow" fieldPosition="0"/>
    </format>
    <format dxfId="74">
      <pivotArea dataOnly="0" labelOnly="1" fieldPosition="0">
        <references count="1">
          <reference field="0" count="0"/>
        </references>
      </pivotArea>
    </format>
    <format dxfId="75">
      <pivotArea dataOnly="0" labelOnly="1" grandRow="1" outline="0" fieldPosition="0"/>
    </format>
    <format dxfId="76">
      <pivotArea dataOnly="0" labelOnly="1" outline="0" fieldPosition="0">
        <references count="1">
          <reference field="4294967294" count="2">
            <x v="0"/>
            <x v="1"/>
          </reference>
        </references>
      </pivotArea>
    </format>
    <format dxfId="7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F1143A3-9501-493A-A6F9-793AD36188B0}" name="PivotTable1" cacheId="21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6:N26" firstHeaderRow="0" firstDataRow="1" firstDataCol="1"/>
  <pivotFields count="2">
    <pivotField dataField="1" showAll="0"/>
    <pivotField axis="axisRow" dataField="1" showAll="0">
      <items count="10">
        <item x="4"/>
        <item x="1"/>
        <item x="6"/>
        <item x="0"/>
        <item x="5"/>
        <item x="7"/>
        <item x="2"/>
        <item x="3"/>
        <item x="8"/>
        <item t="default"/>
      </items>
    </pivotField>
  </pivotFields>
  <rowFields count="1">
    <field x="1"/>
  </rowFields>
  <rowItems count="10">
    <i>
      <x/>
    </i>
    <i>
      <x v="1"/>
    </i>
    <i>
      <x v="2"/>
    </i>
    <i>
      <x v="3"/>
    </i>
    <i>
      <x v="4"/>
    </i>
    <i>
      <x v="5"/>
    </i>
    <i>
      <x v="6"/>
    </i>
    <i>
      <x v="7"/>
    </i>
    <i>
      <x v="8"/>
    </i>
    <i t="grand">
      <x/>
    </i>
  </rowItems>
  <colFields count="1">
    <field x="-2"/>
  </colFields>
  <colItems count="2">
    <i>
      <x/>
    </i>
    <i i="1">
      <x v="1"/>
    </i>
  </colItems>
  <dataFields count="2">
    <dataField name="Count of Group" fld="1" subtotal="count" baseField="0" baseItem="0"/>
    <dataField name="Sum of Value" fld="0" baseField="0" baseItem="0"/>
  </dataFields>
  <formats count="14">
    <format dxfId="57">
      <pivotArea dataOnly="0" fieldPosition="0">
        <references count="1">
          <reference field="1" count="8">
            <x v="0"/>
            <x v="1"/>
            <x v="2"/>
            <x v="3"/>
            <x v="4"/>
            <x v="5"/>
            <x v="6"/>
            <x v="7"/>
          </reference>
        </references>
      </pivotArea>
    </format>
    <format dxfId="58">
      <pivotArea type="all" dataOnly="0" outline="0" fieldPosition="0"/>
    </format>
    <format dxfId="59">
      <pivotArea outline="0" collapsedLevelsAreSubtotals="1" fieldPosition="0"/>
    </format>
    <format dxfId="60">
      <pivotArea field="1" type="button" dataOnly="0" labelOnly="1" outline="0" axis="axisRow" fieldPosition="0"/>
    </format>
    <format dxfId="61">
      <pivotArea dataOnly="0" labelOnly="1" fieldPosition="0">
        <references count="1">
          <reference field="1" count="0"/>
        </references>
      </pivotArea>
    </format>
    <format dxfId="62">
      <pivotArea dataOnly="0" labelOnly="1" grandRow="1" outline="0" fieldPosition="0"/>
    </format>
    <format dxfId="63">
      <pivotArea dataOnly="0" labelOnly="1" outline="0" fieldPosition="0">
        <references count="1">
          <reference field="4294967294" count="2">
            <x v="0"/>
            <x v="1"/>
          </reference>
        </references>
      </pivotArea>
    </format>
    <format dxfId="64">
      <pivotArea type="all" dataOnly="0" outline="0" fieldPosition="0"/>
    </format>
    <format dxfId="65">
      <pivotArea outline="0" collapsedLevelsAreSubtotals="1" fieldPosition="0"/>
    </format>
    <format dxfId="66">
      <pivotArea field="1" type="button" dataOnly="0" labelOnly="1" outline="0" axis="axisRow" fieldPosition="0"/>
    </format>
    <format dxfId="67">
      <pivotArea dataOnly="0" labelOnly="1" fieldPosition="0">
        <references count="1">
          <reference field="1" count="0"/>
        </references>
      </pivotArea>
    </format>
    <format dxfId="68">
      <pivotArea dataOnly="0" labelOnly="1" grandRow="1" outline="0" fieldPosition="0"/>
    </format>
    <format dxfId="69">
      <pivotArea dataOnly="0" labelOnly="1" outline="0" fieldPosition="0">
        <references count="1">
          <reference field="4294967294" count="2">
            <x v="0"/>
            <x v="1"/>
          </reference>
        </references>
      </pivotArea>
    </format>
    <format dxfId="70">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A897301-FB0D-46C1-A19B-D36B39AC3E44}" name="PivotTable1" cacheId="217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Q2:R8" firstHeaderRow="1" firstDataRow="1" firstDataCol="1"/>
  <pivotFields count="7">
    <pivotField compact="0" outline="0" showAll="0"/>
    <pivotField compact="0" outline="0" showAll="0"/>
    <pivotField compact="0" outline="0" showAll="0"/>
    <pivotField compact="0" outline="0" showAll="0"/>
    <pivotField compact="0" outline="0" showAll="0"/>
    <pivotField axis="axisRow" compact="0" outline="0" showAll="0">
      <items count="8">
        <item x="4"/>
        <item x="0"/>
        <item x="1"/>
        <item x="3"/>
        <item x="2"/>
        <item h="1" m="1" x="6"/>
        <item h="1" x="5"/>
        <item t="default"/>
      </items>
    </pivotField>
    <pivotField dataField="1" compact="0" outline="0" showAll="0"/>
  </pivotFields>
  <rowFields count="1">
    <field x="5"/>
  </rowFields>
  <rowItems count="6">
    <i>
      <x/>
    </i>
    <i>
      <x v="1"/>
    </i>
    <i>
      <x v="2"/>
    </i>
    <i>
      <x v="3"/>
    </i>
    <i>
      <x v="4"/>
    </i>
    <i t="grand">
      <x/>
    </i>
  </rowItems>
  <colItems count="1">
    <i/>
  </colItems>
  <dataFields count="1">
    <dataField name="Sum of Group Total" fld="6" baseField="0" baseItem="0"/>
  </dataFields>
  <formats count="6">
    <format dxfId="51">
      <pivotArea type="all" dataOnly="0" outline="0" fieldPosition="0"/>
    </format>
    <format dxfId="52">
      <pivotArea outline="0" collapsedLevelsAreSubtotals="1" fieldPosition="0"/>
    </format>
    <format dxfId="53">
      <pivotArea field="5" type="button" dataOnly="0" labelOnly="1" outline="0" axis="axisRow" fieldPosition="0"/>
    </format>
    <format dxfId="54">
      <pivotArea dataOnly="0" labelOnly="1" outline="0" fieldPosition="0">
        <references count="1">
          <reference field="5" count="0"/>
        </references>
      </pivotArea>
    </format>
    <format dxfId="55">
      <pivotArea dataOnly="0" labelOnly="1" grandRow="1" outline="0" fieldPosition="0"/>
    </format>
    <format dxfId="5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4142F59-58E7-47B4-B425-9D4591C099CD}" name="PivotTable4" cacheId="217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R2:S8" firstHeaderRow="1" firstDataRow="1" firstDataCol="1"/>
  <pivotFields count="2">
    <pivotField axis="axisRow" compact="0" outline="0" showAll="0">
      <items count="7">
        <item x="4"/>
        <item x="1"/>
        <item x="3"/>
        <item x="2"/>
        <item x="0"/>
        <item m="1" x="5"/>
        <item t="default"/>
      </items>
    </pivotField>
    <pivotField dataField="1" compact="0" outline="0" showAll="0"/>
  </pivotFields>
  <rowFields count="1">
    <field x="0"/>
  </rowFields>
  <rowItems count="6">
    <i>
      <x/>
    </i>
    <i>
      <x v="1"/>
    </i>
    <i>
      <x v="2"/>
    </i>
    <i>
      <x v="3"/>
    </i>
    <i>
      <x v="4"/>
    </i>
    <i t="grand">
      <x/>
    </i>
  </rowItems>
  <colItems count="1">
    <i/>
  </colItems>
  <dataFields count="1">
    <dataField name="Sum of Group Total" fld="1" baseField="0" baseItem="0"/>
  </dataFields>
  <formats count="10">
    <format dxfId="41">
      <pivotArea type="all" dataOnly="0" outline="0" fieldPosition="0"/>
    </format>
    <format dxfId="42">
      <pivotArea outline="0" collapsedLevelsAreSubtotals="1" fieldPosition="0"/>
    </format>
    <format dxfId="43">
      <pivotArea field="0" type="button" dataOnly="0" labelOnly="1" outline="0" axis="axisRow" fieldPosition="0"/>
    </format>
    <format dxfId="44">
      <pivotArea dataOnly="0" labelOnly="1" outline="0" fieldPosition="0">
        <references count="1">
          <reference field="0" count="0"/>
        </references>
      </pivotArea>
    </format>
    <format dxfId="45">
      <pivotArea dataOnly="0" labelOnly="1" grandRow="1" outline="0" fieldPosition="0"/>
    </format>
    <format dxfId="46">
      <pivotArea dataOnly="0" labelOnly="1" outline="0" axis="axisValues" fieldPosition="0"/>
    </format>
    <format dxfId="47">
      <pivotArea outline="0" collapsedLevelsAreSubtotals="1" fieldPosition="0"/>
    </format>
    <format dxfId="48">
      <pivotArea dataOnly="0" labelOnly="1" outline="0" axis="axisValues" fieldPosition="0"/>
    </format>
    <format dxfId="49">
      <pivotArea outline="0" collapsedLevelsAreSubtotals="1" fieldPosition="0"/>
    </format>
    <format dxfId="5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9A64832-85FE-4F7B-BD3A-038EC53239A8}" name="PivotTable2" cacheId="217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P6:Q12" firstHeaderRow="1" firstDataRow="1" firstDataCol="1"/>
  <pivotFields count="8">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1"/>
        <item x="0"/>
        <item x="3"/>
        <item x="2"/>
        <item x="4"/>
        <item t="default"/>
      </items>
    </pivotField>
    <pivotField dataField="1" compact="0" outline="0" showAll="0"/>
  </pivotFields>
  <rowFields count="1">
    <field x="6"/>
  </rowFields>
  <rowItems count="6">
    <i>
      <x/>
    </i>
    <i>
      <x v="1"/>
    </i>
    <i>
      <x v="2"/>
    </i>
    <i>
      <x v="3"/>
    </i>
    <i>
      <x v="4"/>
    </i>
    <i t="grand">
      <x/>
    </i>
  </rowItems>
  <colItems count="1">
    <i/>
  </colItems>
  <dataFields count="1">
    <dataField name="Sum of Group_Total"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0348F2F-03EE-436E-9989-9B3139CFDD8A}" name="PivotTable6" cacheId="219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N22:O33" firstHeaderRow="1" firstDataRow="1" firstDataCol="1"/>
  <pivotFields count="8">
    <pivotField compact="0" outline="0" showAll="0"/>
    <pivotField axis="axisRow" compact="0" outline="0" showAll="0">
      <items count="12">
        <item x="1"/>
        <item x="2"/>
        <item x="3"/>
        <item x="0"/>
        <item x="7"/>
        <item x="5"/>
        <item x="8"/>
        <item x="6"/>
        <item x="4"/>
        <item m="1" x="10"/>
        <item x="9"/>
        <item t="default"/>
      </items>
    </pivotField>
    <pivotField compact="0" outline="0" showAll="0"/>
    <pivotField compact="0" outline="0" showAll="0"/>
    <pivotField compact="0" outline="0" showAll="0"/>
    <pivotField compact="0" outline="0" showAll="0"/>
    <pivotField compact="0" outline="0" showAll="0"/>
    <pivotField dataField="1" compact="0" outline="0" showAll="0">
      <items count="5">
        <item x="0"/>
        <item x="1"/>
        <item x="2"/>
        <item x="3"/>
        <item t="default"/>
      </items>
    </pivotField>
  </pivotFields>
  <rowFields count="1">
    <field x="1"/>
  </rowFields>
  <rowItems count="11">
    <i>
      <x/>
    </i>
    <i>
      <x v="1"/>
    </i>
    <i>
      <x v="2"/>
    </i>
    <i>
      <x v="3"/>
    </i>
    <i>
      <x v="4"/>
    </i>
    <i>
      <x v="5"/>
    </i>
    <i>
      <x v="6"/>
    </i>
    <i>
      <x v="7"/>
    </i>
    <i>
      <x v="8"/>
    </i>
    <i>
      <x v="10"/>
    </i>
    <i t="grand">
      <x/>
    </i>
  </rowItems>
  <colItems count="1">
    <i/>
  </colItems>
  <dataFields count="1">
    <dataField name="Sum of Sum"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91184DC-3D05-4B88-A5A5-F4E81BE8B867}" name="PivotTable2" cacheId="219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N9:O20" firstHeaderRow="1" firstDataRow="1" firstDataCol="1"/>
  <pivotFields count="8">
    <pivotField compact="0" outline="0" showAll="0"/>
    <pivotField axis="axisRow" compact="0" outline="0" showAll="0">
      <items count="12">
        <item x="1"/>
        <item x="2"/>
        <item x="3"/>
        <item x="0"/>
        <item x="5"/>
        <item x="4"/>
        <item m="1" x="10"/>
        <item x="9"/>
        <item x="6"/>
        <item x="7"/>
        <item x="8"/>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s>
  <rowFields count="1">
    <field x="1"/>
  </rowFields>
  <rowItems count="11">
    <i>
      <x/>
    </i>
    <i>
      <x v="1"/>
    </i>
    <i>
      <x v="2"/>
    </i>
    <i>
      <x v="3"/>
    </i>
    <i>
      <x v="4"/>
    </i>
    <i>
      <x v="5"/>
    </i>
    <i>
      <x v="7"/>
    </i>
    <i>
      <x v="8"/>
    </i>
    <i>
      <x v="9"/>
    </i>
    <i>
      <x v="10"/>
    </i>
    <i t="grand">
      <x/>
    </i>
  </rowItems>
  <colItems count="1">
    <i/>
  </colItems>
  <dataFields count="1">
    <dataField name="Answer" fld="7" baseField="0" baseItem="0"/>
  </dataFields>
  <formats count="6">
    <format dxfId="35">
      <pivotArea type="all" dataOnly="0" outline="0" fieldPosition="0"/>
    </format>
    <format dxfId="36">
      <pivotArea outline="0" collapsedLevelsAreSubtotals="1" fieldPosition="0"/>
    </format>
    <format dxfId="37">
      <pivotArea field="1" type="button" dataOnly="0" labelOnly="1" outline="0" axis="axisRow" fieldPosition="0"/>
    </format>
    <format dxfId="38">
      <pivotArea dataOnly="0" labelOnly="1" outline="0" fieldPosition="0">
        <references count="1">
          <reference field="1" count="0"/>
        </references>
      </pivotArea>
    </format>
    <format dxfId="39">
      <pivotArea dataOnly="0" labelOnly="1" grandRow="1" outline="0" fieldPosition="0"/>
    </format>
    <format dxfId="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248173D-1023-496D-8AC8-BA73A142692A}" name="PivotTable1" cacheId="219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P5:Q16" firstHeaderRow="1" firstDataRow="1" firstDataCol="1"/>
  <pivotFields count="8">
    <pivotField compact="0" outline="0" showAll="0"/>
    <pivotField axis="axisRow" compact="0" outline="0" showAll="0">
      <items count="11">
        <item x="1"/>
        <item x="2"/>
        <item x="3"/>
        <item x="0"/>
        <item x="7"/>
        <item x="5"/>
        <item x="8"/>
        <item x="6"/>
        <item x="4"/>
        <item x="9"/>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s>
  <rowFields count="1">
    <field x="1"/>
  </rowFields>
  <rowItems count="11">
    <i>
      <x/>
    </i>
    <i>
      <x v="1"/>
    </i>
    <i>
      <x v="2"/>
    </i>
    <i>
      <x v="3"/>
    </i>
    <i>
      <x v="4"/>
    </i>
    <i>
      <x v="5"/>
    </i>
    <i>
      <x v="6"/>
    </i>
    <i>
      <x v="7"/>
    </i>
    <i>
      <x v="8"/>
    </i>
    <i>
      <x v="9"/>
    </i>
    <i t="grand">
      <x/>
    </i>
  </rowItems>
  <colItems count="1">
    <i/>
  </colItems>
  <dataFields count="1">
    <dataField name="Sum of Sum" fld="7" baseField="0" baseItem="0"/>
  </dataFields>
  <formats count="6">
    <format dxfId="29">
      <pivotArea outline="0" fieldPosition="0">
        <references count="1">
          <reference field="1" count="7" selected="0">
            <x v="0"/>
            <x v="1"/>
            <x v="2"/>
            <x v="3"/>
            <x v="4"/>
            <x v="5"/>
            <x v="6"/>
          </reference>
        </references>
      </pivotArea>
    </format>
    <format dxfId="30">
      <pivotArea dataOnly="0" labelOnly="1" outline="0" fieldPosition="0">
        <references count="1">
          <reference field="1" count="7">
            <x v="0"/>
            <x v="1"/>
            <x v="2"/>
            <x v="3"/>
            <x v="4"/>
            <x v="5"/>
            <x v="6"/>
          </reference>
        </references>
      </pivotArea>
    </format>
    <format dxfId="31">
      <pivotArea outline="0" fieldPosition="0">
        <references count="1">
          <reference field="1" count="5" selected="0">
            <x v="4"/>
            <x v="5"/>
            <x v="6"/>
            <x v="7"/>
            <x v="8"/>
          </reference>
        </references>
      </pivotArea>
    </format>
    <format dxfId="32">
      <pivotArea dataOnly="0" labelOnly="1" outline="0" fieldPosition="0">
        <references count="1">
          <reference field="1" count="5">
            <x v="4"/>
            <x v="5"/>
            <x v="6"/>
            <x v="7"/>
            <x v="8"/>
          </reference>
        </references>
      </pivotArea>
    </format>
    <format dxfId="33">
      <pivotArea outline="0" fieldPosition="0">
        <references count="1">
          <reference field="1" count="1" selected="0">
            <x v="4"/>
          </reference>
        </references>
      </pivotArea>
    </format>
    <format dxfId="34">
      <pivotArea dataOnly="0" labelOnly="1" outline="0" fieldPosition="0">
        <references count="1">
          <reference field="1"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1EA8933-6781-4553-9A37-DC99034FB57F}" name="PivotTable2" cacheId="219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P7:Q18" firstHeaderRow="1" firstDataRow="1" firstDataCol="1"/>
  <pivotFields count="8">
    <pivotField compact="0" outline="0" showAll="0"/>
    <pivotField axis="axisRow" compact="0" outline="0" showAll="0">
      <items count="11">
        <item x="1"/>
        <item x="2"/>
        <item x="3"/>
        <item x="0"/>
        <item x="7"/>
        <item x="5"/>
        <item x="8"/>
        <item x="6"/>
        <item x="4"/>
        <item x="9"/>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s>
  <rowFields count="1">
    <field x="1"/>
  </rowFields>
  <rowItems count="11">
    <i>
      <x/>
    </i>
    <i>
      <x v="1"/>
    </i>
    <i>
      <x v="2"/>
    </i>
    <i>
      <x v="3"/>
    </i>
    <i>
      <x v="4"/>
    </i>
    <i>
      <x v="5"/>
    </i>
    <i>
      <x v="6"/>
    </i>
    <i>
      <x v="7"/>
    </i>
    <i>
      <x v="8"/>
    </i>
    <i>
      <x v="9"/>
    </i>
    <i t="grand">
      <x/>
    </i>
  </rowItems>
  <colItems count="1">
    <i/>
  </colItems>
  <dataFields count="1">
    <dataField name="Sum of Sum" fld="7" baseField="0" baseItem="0"/>
  </dataFields>
  <formats count="2">
    <format dxfId="27">
      <pivotArea outline="0" fieldPosition="0">
        <references count="1">
          <reference field="1" count="9" selected="0">
            <x v="0"/>
            <x v="1"/>
            <x v="2"/>
            <x v="3"/>
            <x v="4"/>
            <x v="5"/>
            <x v="6"/>
            <x v="7"/>
            <x v="8"/>
          </reference>
        </references>
      </pivotArea>
    </format>
    <format dxfId="28">
      <pivotArea dataOnly="0" labelOnly="1" outline="0" fieldPosition="0">
        <references count="1">
          <reference field="1" count="9">
            <x v="0"/>
            <x v="1"/>
            <x v="2"/>
            <x v="3"/>
            <x v="4"/>
            <x v="5"/>
            <x v="6"/>
            <x v="7"/>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8327D50-CA9C-4B97-B358-AFE4C0F8330B}" name="PivotTable3" cacheId="218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P7:Q18" firstHeaderRow="1" firstDataRow="1" firstDataCol="1"/>
  <pivotFields count="8">
    <pivotField compact="0" outline="0" showAll="0"/>
    <pivotField axis="axisRow" compact="0" outline="0" showAll="0">
      <items count="11">
        <item x="1"/>
        <item x="2"/>
        <item x="3"/>
        <item x="0"/>
        <item x="7"/>
        <item x="5"/>
        <item x="8"/>
        <item x="6"/>
        <item x="4"/>
        <item x="9"/>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s>
  <rowFields count="1">
    <field x="1"/>
  </rowFields>
  <rowItems count="11">
    <i>
      <x/>
    </i>
    <i>
      <x v="1"/>
    </i>
    <i>
      <x v="2"/>
    </i>
    <i>
      <x v="3"/>
    </i>
    <i>
      <x v="4"/>
    </i>
    <i>
      <x v="5"/>
    </i>
    <i>
      <x v="6"/>
    </i>
    <i>
      <x v="7"/>
    </i>
    <i>
      <x v="8"/>
    </i>
    <i>
      <x v="9"/>
    </i>
    <i t="grand">
      <x/>
    </i>
  </rowItems>
  <colItems count="1">
    <i/>
  </colItems>
  <dataFields count="1">
    <dataField name="Sum of Sum" fld="7" baseField="0" baseItem="0"/>
  </dataFields>
  <formats count="2">
    <format dxfId="25">
      <pivotArea outline="0" fieldPosition="0">
        <references count="1">
          <reference field="1" count="0" selected="0"/>
        </references>
      </pivotArea>
    </format>
    <format dxfId="26">
      <pivotArea dataOnly="0" labelOnly="1" outline="0"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1204688-C012-4AC7-B7E2-4E899B080A5B}" name="PivotTable4" cacheId="219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N6:O17" firstHeaderRow="1" firstDataRow="1" firstDataCol="1"/>
  <pivotFields count="8">
    <pivotField compact="0" outline="0" showAll="0"/>
    <pivotField axis="axisRow" compact="0" outline="0" showAll="0">
      <items count="11">
        <item x="1"/>
        <item x="2"/>
        <item x="3"/>
        <item x="0"/>
        <item x="7"/>
        <item x="5"/>
        <item x="8"/>
        <item x="6"/>
        <item x="4"/>
        <item x="9"/>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s>
  <rowFields count="1">
    <field x="1"/>
  </rowFields>
  <rowItems count="11">
    <i>
      <x/>
    </i>
    <i>
      <x v="1"/>
    </i>
    <i>
      <x v="2"/>
    </i>
    <i>
      <x v="3"/>
    </i>
    <i>
      <x v="4"/>
    </i>
    <i>
      <x v="5"/>
    </i>
    <i>
      <x v="6"/>
    </i>
    <i>
      <x v="7"/>
    </i>
    <i>
      <x v="8"/>
    </i>
    <i>
      <x v="9"/>
    </i>
    <i t="grand">
      <x/>
    </i>
  </rowItems>
  <colItems count="1">
    <i/>
  </colItems>
  <dataFields count="1">
    <dataField name="Sum of Sum" fld="7" baseField="0" baseItem="0"/>
  </dataFields>
  <formats count="8">
    <format dxfId="17">
      <pivotArea type="all" dataOnly="0" outline="0" fieldPosition="0"/>
    </format>
    <format dxfId="18">
      <pivotArea outline="0" collapsedLevelsAreSubtotals="1" fieldPosition="0"/>
    </format>
    <format dxfId="19">
      <pivotArea field="1" type="button" dataOnly="0" labelOnly="1" outline="0" axis="axisRow" fieldPosition="0"/>
    </format>
    <format dxfId="20">
      <pivotArea dataOnly="0" labelOnly="1" outline="0" fieldPosition="0">
        <references count="1">
          <reference field="1" count="0"/>
        </references>
      </pivotArea>
    </format>
    <format dxfId="21">
      <pivotArea dataOnly="0" labelOnly="1" grandRow="1" outline="0" fieldPosition="0"/>
    </format>
    <format dxfId="22">
      <pivotArea dataOnly="0" labelOnly="1" outline="0" axis="axisValues" fieldPosition="0"/>
    </format>
    <format dxfId="23">
      <pivotArea outline="0" fieldPosition="0">
        <references count="1">
          <reference field="1" count="9" selected="0">
            <x v="0"/>
            <x v="1"/>
            <x v="2"/>
            <x v="3"/>
            <x v="4"/>
            <x v="5"/>
            <x v="6"/>
            <x v="7"/>
            <x v="8"/>
          </reference>
        </references>
      </pivotArea>
    </format>
    <format dxfId="24">
      <pivotArea dataOnly="0" labelOnly="1" outline="0" fieldPosition="0">
        <references count="1">
          <reference field="1" count="9">
            <x v="0"/>
            <x v="1"/>
            <x v="2"/>
            <x v="3"/>
            <x v="4"/>
            <x v="5"/>
            <x v="6"/>
            <x v="7"/>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F98410F-15AC-4A90-A090-44CB5BB43E74}" name="PivotTable5" cacheId="219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O3:P14" firstHeaderRow="1" firstDataRow="1" firstDataCol="1"/>
  <pivotFields count="8">
    <pivotField compact="0" outline="0" showAll="0"/>
    <pivotField axis="axisRow" compact="0" outline="0" showAll="0">
      <items count="11">
        <item x="2"/>
        <item x="3"/>
        <item x="4"/>
        <item x="1"/>
        <item x="8"/>
        <item x="6"/>
        <item x="9"/>
        <item x="7"/>
        <item x="5"/>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s>
  <rowFields count="1">
    <field x="1"/>
  </rowFields>
  <rowItems count="11">
    <i>
      <x/>
    </i>
    <i>
      <x v="1"/>
    </i>
    <i>
      <x v="2"/>
    </i>
    <i>
      <x v="3"/>
    </i>
    <i>
      <x v="4"/>
    </i>
    <i>
      <x v="5"/>
    </i>
    <i>
      <x v="6"/>
    </i>
    <i>
      <x v="7"/>
    </i>
    <i>
      <x v="8"/>
    </i>
    <i>
      <x v="9"/>
    </i>
    <i t="grand">
      <x/>
    </i>
  </rowItems>
  <colItems count="1">
    <i/>
  </colItems>
  <dataFields count="1">
    <dataField name="Sum of Sum" fld="7" baseField="0" baseItem="0"/>
  </dataFields>
  <formats count="2">
    <format dxfId="15">
      <pivotArea outline="0" fieldPosition="0">
        <references count="1">
          <reference field="1" count="0" selected="0"/>
        </references>
      </pivotArea>
    </format>
    <format dxfId="16">
      <pivotArea dataOnly="0" labelOnly="1" outline="0"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FE81284-EAE3-43E8-A19B-8EF6287CC3BA}" name="PivotTable1" cacheId="218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O3:P13" firstHeaderRow="1" firstDataRow="1" firstDataCol="1"/>
  <pivotFields count="8">
    <pivotField compact="0" outline="0" showAll="0"/>
    <pivotField axis="axisRow" compact="0" outline="0" showAll="0">
      <items count="10">
        <item x="0"/>
        <item x="6"/>
        <item x="4"/>
        <item x="7"/>
        <item x="5"/>
        <item x="3"/>
        <item x="2"/>
        <item x="1"/>
        <item x="8"/>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s>
  <rowFields count="1">
    <field x="1"/>
  </rowFields>
  <rowItems count="10">
    <i>
      <x/>
    </i>
    <i>
      <x v="1"/>
    </i>
    <i>
      <x v="2"/>
    </i>
    <i>
      <x v="3"/>
    </i>
    <i>
      <x v="4"/>
    </i>
    <i>
      <x v="5"/>
    </i>
    <i>
      <x v="6"/>
    </i>
    <i>
      <x v="7"/>
    </i>
    <i>
      <x v="8"/>
    </i>
    <i t="grand">
      <x/>
    </i>
  </rowItems>
  <colItems count="1">
    <i/>
  </colItems>
  <dataFields count="1">
    <dataField name="Sum of Sum" fld="7" baseField="0" baseItem="0"/>
  </dataFields>
  <formats count="2">
    <format dxfId="13">
      <pivotArea outline="0" fieldPosition="0">
        <references count="1">
          <reference field="1" count="8" selected="0">
            <x v="0"/>
            <x v="1"/>
            <x v="2"/>
            <x v="3"/>
            <x v="4"/>
            <x v="5"/>
            <x v="6"/>
            <x v="7"/>
          </reference>
        </references>
      </pivotArea>
    </format>
    <format dxfId="14">
      <pivotArea dataOnly="0" labelOnly="1" outline="0" fieldPosition="0">
        <references count="1">
          <reference field="1" count="8">
            <x v="0"/>
            <x v="1"/>
            <x v="2"/>
            <x v="3"/>
            <x v="4"/>
            <x v="5"/>
            <x v="6"/>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9094AF6-B0EA-4CB1-97C6-BC70AC97557C}" name="PivotTable2" cacheId="218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R4:S14" firstHeaderRow="1" firstDataRow="1" firstDataCol="1"/>
  <pivotFields count="8">
    <pivotField compact="0" outline="0" showAll="0"/>
    <pivotField axis="axisRow" compact="0" outline="0" showAll="0">
      <items count="10">
        <item x="0"/>
        <item x="6"/>
        <item x="4"/>
        <item x="7"/>
        <item x="5"/>
        <item x="3"/>
        <item x="2"/>
        <item x="1"/>
        <item x="8"/>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s>
  <rowFields count="1">
    <field x="1"/>
  </rowFields>
  <rowItems count="10">
    <i>
      <x/>
    </i>
    <i>
      <x v="1"/>
    </i>
    <i>
      <x v="2"/>
    </i>
    <i>
      <x v="3"/>
    </i>
    <i>
      <x v="4"/>
    </i>
    <i>
      <x v="5"/>
    </i>
    <i>
      <x v="6"/>
    </i>
    <i>
      <x v="7"/>
    </i>
    <i>
      <x v="8"/>
    </i>
    <i t="grand">
      <x/>
    </i>
  </rowItems>
  <colItems count="1">
    <i/>
  </colItems>
  <dataFields count="1">
    <dataField name="Sum of Sum" fld="7" baseField="0" baseItem="0"/>
  </dataFields>
  <formats count="3">
    <format dxfId="10">
      <pivotArea outline="0" collapsedLevelsAreSubtotals="1" fieldPosition="0"/>
    </format>
    <format dxfId="11">
      <pivotArea dataOnly="0" labelOnly="1" outline="0" fieldPosition="0">
        <references count="1">
          <reference field="1" count="0"/>
        </references>
      </pivotArea>
    </format>
    <format dxfId="1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F7EE9E3-2FB8-44BA-96E3-CBC033A410DF}" name="PivotTable3" cacheId="218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P8:Q18" firstHeaderRow="1" firstDataRow="1" firstDataCol="1"/>
  <pivotFields count="8">
    <pivotField compact="0" outline="0" showAll="0"/>
    <pivotField axis="axisRow" compact="0" outline="0" showAll="0">
      <items count="10">
        <item x="0"/>
        <item x="6"/>
        <item x="4"/>
        <item x="7"/>
        <item x="5"/>
        <item x="3"/>
        <item x="2"/>
        <item x="1"/>
        <item x="8"/>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s>
  <rowFields count="1">
    <field x="1"/>
  </rowFields>
  <rowItems count="10">
    <i>
      <x/>
    </i>
    <i>
      <x v="1"/>
    </i>
    <i>
      <x v="2"/>
    </i>
    <i>
      <x v="3"/>
    </i>
    <i>
      <x v="4"/>
    </i>
    <i>
      <x v="5"/>
    </i>
    <i>
      <x v="6"/>
    </i>
    <i>
      <x v="7"/>
    </i>
    <i>
      <x v="8"/>
    </i>
    <i t="grand">
      <x/>
    </i>
  </rowItems>
  <colItems count="1">
    <i/>
  </colItems>
  <dataFields count="1">
    <dataField name="Sum of Sum" fld="7" baseField="0" baseItem="0"/>
  </dataFields>
  <formats count="2">
    <format dxfId="8">
      <pivotArea outline="0" fieldPosition="0">
        <references count="1">
          <reference field="1" count="0" selected="0"/>
        </references>
      </pivotArea>
    </format>
    <format dxfId="9">
      <pivotArea dataOnly="0" labelOnly="1" outline="0"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5361FEA2-D289-4432-ADD5-63F52E92B59E}" name="PivotTable4" cacheId="218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Q3:R12" firstHeaderRow="1" firstDataRow="1" firstDataCol="1"/>
  <pivotFields count="8">
    <pivotField compact="0" outline="0" showAll="0"/>
    <pivotField axis="axisRow" compact="0" outline="0" showAll="0">
      <items count="9">
        <item x="0"/>
        <item x="5"/>
        <item x="3"/>
        <item x="6"/>
        <item x="4"/>
        <item x="2"/>
        <item x="1"/>
        <item x="7"/>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s>
  <rowFields count="1">
    <field x="1"/>
  </rowFields>
  <rowItems count="9">
    <i>
      <x/>
    </i>
    <i>
      <x v="1"/>
    </i>
    <i>
      <x v="2"/>
    </i>
    <i>
      <x v="3"/>
    </i>
    <i>
      <x v="4"/>
    </i>
    <i>
      <x v="5"/>
    </i>
    <i>
      <x v="6"/>
    </i>
    <i>
      <x v="7"/>
    </i>
    <i t="grand">
      <x/>
    </i>
  </rowItems>
  <colItems count="1">
    <i/>
  </colItems>
  <dataFields count="1">
    <dataField name="Sum of Sum" fld="7" baseField="0" baseItem="0"/>
  </dataFields>
  <formats count="4">
    <format dxfId="4">
      <pivotArea outline="0" fieldPosition="0">
        <references count="1">
          <reference field="1" count="0" selected="0"/>
        </references>
      </pivotArea>
    </format>
    <format dxfId="5">
      <pivotArea field="1" type="button" dataOnly="0" labelOnly="1" outline="0" axis="axisRow" fieldPosition="0"/>
    </format>
    <format dxfId="6">
      <pivotArea dataOnly="0" labelOnly="1" outline="0" fieldPosition="0">
        <references count="1">
          <reference field="1" count="0"/>
        </references>
      </pivotArea>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45D63DCF-6AED-44F2-B1C3-D69616D7E5F8}" name="PivotTable5" cacheId="218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N4:O13" firstHeaderRow="1" firstDataRow="1" firstDataCol="1"/>
  <pivotFields count="8">
    <pivotField compact="0" outline="0" showAll="0"/>
    <pivotField axis="axisRow" compact="0" outline="0" showAll="0">
      <items count="9">
        <item x="0"/>
        <item x="5"/>
        <item x="3"/>
        <item x="6"/>
        <item x="4"/>
        <item x="2"/>
        <item x="1"/>
        <item x="7"/>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s>
  <rowFields count="1">
    <field x="1"/>
  </rowFields>
  <rowItems count="9">
    <i>
      <x/>
    </i>
    <i>
      <x v="1"/>
    </i>
    <i>
      <x v="2"/>
    </i>
    <i>
      <x v="3"/>
    </i>
    <i>
      <x v="4"/>
    </i>
    <i>
      <x v="5"/>
    </i>
    <i>
      <x v="6"/>
    </i>
    <i>
      <x v="7"/>
    </i>
    <i t="grand">
      <x/>
    </i>
  </rowItems>
  <colItems count="1">
    <i/>
  </colItems>
  <dataFields count="1">
    <dataField name="Sum of Sum" fld="7" baseField="0" baseItem="0"/>
  </dataFields>
  <formats count="2">
    <format dxfId="2">
      <pivotArea outline="0" fieldPosition="0">
        <references count="1">
          <reference field="1" count="0" selected="0"/>
        </references>
      </pivotArea>
    </format>
    <format dxfId="3">
      <pivotArea dataOnly="0" labelOnly="1" outline="0"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3326DDFD-A5C4-4135-9CD2-9994BE6254CE}" name="PivotTable7" cacheId="218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O4:P13" firstHeaderRow="1" firstDataRow="1" firstDataCol="1"/>
  <pivotFields count="8">
    <pivotField compact="0" outline="0" showAll="0"/>
    <pivotField axis="axisRow" compact="0" outline="0" showAll="0">
      <items count="9">
        <item x="0"/>
        <item x="5"/>
        <item x="3"/>
        <item x="6"/>
        <item x="4"/>
        <item x="2"/>
        <item x="1"/>
        <item x="7"/>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s>
  <rowFields count="1">
    <field x="1"/>
  </rowFields>
  <rowItems count="9">
    <i>
      <x/>
    </i>
    <i>
      <x v="1"/>
    </i>
    <i>
      <x v="2"/>
    </i>
    <i>
      <x v="3"/>
    </i>
    <i>
      <x v="4"/>
    </i>
    <i>
      <x v="5"/>
    </i>
    <i>
      <x v="6"/>
    </i>
    <i>
      <x v="7"/>
    </i>
    <i t="grand">
      <x/>
    </i>
  </rowItems>
  <colItems count="1">
    <i/>
  </colItems>
  <dataFields count="1">
    <dataField name="Sum of Sum" fld="7" baseField="0" baseItem="0"/>
  </dataFields>
  <formats count="2">
    <format dxfId="0">
      <pivotArea outline="0" fieldPosition="0">
        <references count="1">
          <reference field="1" count="0" selected="0"/>
        </references>
      </pivotArea>
    </format>
    <format dxfId="1">
      <pivotArea dataOnly="0" labelOnly="1" outline="0"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CEF5D0-35A5-424C-A1C8-ED32FF672A7F}" name="Table2" displayName="Table2" ref="A3:H6" totalsRowShown="0">
  <autoFilter ref="A3:H6" xr:uid="{23CEF5D0-35A5-424C-A1C8-ED32FF672A7F}"/>
  <sortState xmlns:xlrd2="http://schemas.microsoft.com/office/spreadsheetml/2017/richdata2" ref="A4:H6">
    <sortCondition ref="G3:G6"/>
  </sortState>
  <tableColumns count="8">
    <tableColumn id="1" xr3:uid="{CB3CBDD0-00F8-42C2-AE74-7A002C6BA102}" name="SYMPTOMS:Check the appropriate box"/>
    <tableColumn id="2" xr3:uid="{5766931A-0168-42DE-A6A2-4C2689EFFA88}" name="Never or not at all   (0)"/>
    <tableColumn id="3" xr3:uid="{70DC3D7F-D737-4D0A-9959-01255C8D68D1}" name="Sometimes or somewhat  (1)"/>
    <tableColumn id="4" xr3:uid="{491A422B-1369-41AD-BDF4-417118C6C666}" name="Often or much  (2)"/>
    <tableColumn id="5" xr3:uid="{B790466E-0BF5-4686-A8B5-B6473E37A98E}" name="Very often or very much (3)"/>
    <tableColumn id="6" xr3:uid="{35DB4999-C785-41D9-92D6-2C90DC6E4B63}" name="N/A"/>
    <tableColumn id="7" xr3:uid="{E60FE133-B8EE-4585-A099-27FBFD316D22}" name="Group_Name"/>
    <tableColumn id="8" xr3:uid="{35A7DF50-945F-4A56-A695-5FF3D5F0EF4B}" name="Val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D33D51-A0A0-4D20-B30B-C88B21AA6F87}" name="Table3" displayName="Table3" ref="A3:C9" totalsRowShown="0">
  <autoFilter ref="A3:C9" xr:uid="{EFD33D51-A0A0-4D20-B30B-C88B21AA6F87}"/>
  <sortState xmlns:xlrd2="http://schemas.microsoft.com/office/spreadsheetml/2017/richdata2" ref="A4:C9">
    <sortCondition ref="C3:C9"/>
  </sortState>
  <tableColumns count="3">
    <tableColumn id="1" xr3:uid="{D6C50836-BF3A-411D-B7DC-56C88FFE4672}" name="Group"/>
    <tableColumn id="2" xr3:uid="{ED8E911E-27E8-4ED5-A5BB-6314FB9A16A0}" name="Group_1"/>
    <tableColumn id="3" xr3:uid="{F1C55177-8B1D-48E9-9A1A-347C8F99BAFA}" name="Valu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C1D76B9-8DF8-4B24-BE88-F44D6CEBE94C}" name="Table4" displayName="Table4" ref="A3:C51" totalsRowShown="0">
  <autoFilter ref="A3:C51" xr:uid="{BC1D76B9-8DF8-4B24-BE88-F44D6CEBE94C}"/>
  <sortState xmlns:xlrd2="http://schemas.microsoft.com/office/spreadsheetml/2017/richdata2" ref="A4:C51">
    <sortCondition ref="C3:C51"/>
  </sortState>
  <tableColumns count="3">
    <tableColumn id="1" xr3:uid="{977C7F6C-084C-4860-B31B-93FFB85D891D}" name="Group"/>
    <tableColumn id="2" xr3:uid="{28439BA5-5455-4012-B9AC-35512D433470}" name="Group_1"/>
    <tableColumn id="3" xr3:uid="{081B881F-1E43-4EBD-9003-C241F783DC16}" name="Valu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F77FFA-39CB-4E97-8DC4-1599CA1F81E6}" name="Table1" displayName="Table1" ref="A1:B39" totalsRowShown="0">
  <autoFilter ref="A1:B39" xr:uid="{C7F77FFA-39CB-4E97-8DC4-1599CA1F81E6}"/>
  <tableColumns count="2">
    <tableColumn id="1" xr3:uid="{899E34B6-FB86-4F02-B03E-CA2B9C334253}" name="Value"/>
    <tableColumn id="2" xr3:uid="{6C36FF16-8951-4AA4-B1D5-714E5D2A503F}" name="Grou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0.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21.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29.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33.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35.xml.rels><?xml version="1.0" encoding="UTF-8" standalone="yes"?>
<Relationships xmlns="http://schemas.openxmlformats.org/package/2006/relationships"><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36.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37.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38.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39.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40.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41.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42.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_rels/sheet43.xml.rels><?xml version="1.0" encoding="UTF-8" standalone="yes"?>
<Relationships xmlns="http://schemas.openxmlformats.org/package/2006/relationships"><Relationship Id="rId1" Type="http://schemas.openxmlformats.org/officeDocument/2006/relationships/pivotTable" Target="../pivotTables/pivotTable23.xml"/></Relationships>
</file>

<file path=xl/worksheets/_rels/sheet44.xml.rels><?xml version="1.0" encoding="UTF-8" standalone="yes"?>
<Relationships xmlns="http://schemas.openxmlformats.org/package/2006/relationships"><Relationship Id="rId1" Type="http://schemas.openxmlformats.org/officeDocument/2006/relationships/pivotTable" Target="../pivotTables/pivotTable24.xml"/></Relationships>
</file>

<file path=xl/worksheets/_rels/sheet45.xml.rels><?xml version="1.0" encoding="UTF-8" standalone="yes"?>
<Relationships xmlns="http://schemas.openxmlformats.org/package/2006/relationships"><Relationship Id="rId1" Type="http://schemas.openxmlformats.org/officeDocument/2006/relationships/pivotTable" Target="../pivotTables/pivotTable25.xml"/></Relationships>
</file>

<file path=xl/worksheets/_rels/sheet46.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C7BA2-759B-4EB3-ADBB-46383F3D67AA}">
  <sheetPr codeName="Sheet1"/>
  <dimension ref="A1:AA103"/>
  <sheetViews>
    <sheetView topLeftCell="A26" workbookViewId="0">
      <selection activeCell="K38" sqref="K38"/>
    </sheetView>
  </sheetViews>
  <sheetFormatPr defaultRowHeight="15"/>
  <cols>
    <col min="1" max="1" width="6" style="5" customWidth="1"/>
    <col min="2" max="2" width="38.140625" style="100" customWidth="1"/>
    <col min="3" max="3" width="13.85546875" customWidth="1"/>
    <col min="4" max="4" width="19.7109375" customWidth="1"/>
    <col min="5" max="5" width="14.5703125" customWidth="1"/>
    <col min="6" max="6" width="16.85546875" customWidth="1"/>
    <col min="7" max="7" width="13.42578125" style="5" customWidth="1"/>
    <col min="8" max="8" width="6.140625" style="5" customWidth="1"/>
    <col min="9" max="9" width="10.42578125" style="5" bestFit="1" customWidth="1"/>
    <col min="10" max="10" width="25.7109375" style="23" customWidth="1"/>
    <col min="11" max="11" width="36.85546875" customWidth="1"/>
    <col min="26" max="26" width="32.28515625" style="29" customWidth="1"/>
    <col min="27" max="27" width="31.42578125" customWidth="1"/>
  </cols>
  <sheetData>
    <row r="1" spans="1:27">
      <c r="A1" s="217" t="s">
        <v>0</v>
      </c>
      <c r="B1" s="217"/>
      <c r="C1" s="217"/>
      <c r="D1" s="217"/>
      <c r="E1" s="217"/>
      <c r="F1" s="217"/>
      <c r="G1" s="217"/>
      <c r="H1" s="217"/>
      <c r="I1" s="217"/>
      <c r="J1" s="217"/>
    </row>
    <row r="2" spans="1:27">
      <c r="A2" s="4">
        <v>1</v>
      </c>
      <c r="B2" s="74" t="str">
        <f>IF(SUM($H$8:$H$16)&gt;6,"In-Attentions","Attentions")</f>
        <v>Attentions</v>
      </c>
    </row>
    <row r="3" spans="1:27">
      <c r="A3" s="4">
        <v>2</v>
      </c>
      <c r="B3" s="74" t="str">
        <f>IF(SUM($H$18:$H$25)&gt;6,"Hyperactivity/Impulsive","Relaxed/Apathy")</f>
        <v>Relaxed/Apathy</v>
      </c>
    </row>
    <row r="4" spans="1:27">
      <c r="A4" s="4">
        <v>3</v>
      </c>
      <c r="B4" s="74" t="str">
        <f>IF(SUM($H$28:$H$32)&gt;6,"Oppositional Defient Disorder","Conduct Disorder")</f>
        <v>Conduct Disorder</v>
      </c>
    </row>
    <row r="6" spans="1:27" ht="65.25" customHeight="1">
      <c r="A6" s="6" t="s">
        <v>1</v>
      </c>
      <c r="B6" s="157" t="s">
        <v>2</v>
      </c>
      <c r="C6" s="1" t="s">
        <v>3</v>
      </c>
      <c r="D6" s="1" t="s">
        <v>4</v>
      </c>
      <c r="E6" s="1" t="s">
        <v>5</v>
      </c>
      <c r="F6" s="1" t="s">
        <v>6</v>
      </c>
      <c r="G6" s="1" t="s">
        <v>7</v>
      </c>
      <c r="H6" s="25"/>
      <c r="I6" s="6" t="s">
        <v>8</v>
      </c>
      <c r="J6" s="24" t="s">
        <v>9</v>
      </c>
      <c r="Z6" s="103" t="s">
        <v>10</v>
      </c>
      <c r="AA6" s="112" t="s">
        <v>11</v>
      </c>
    </row>
    <row r="7" spans="1:27" ht="30.75">
      <c r="A7" s="224" t="s">
        <v>12</v>
      </c>
      <c r="B7" s="225"/>
      <c r="C7" s="225"/>
      <c r="D7" s="225"/>
      <c r="E7" s="225"/>
      <c r="F7" s="225"/>
      <c r="G7" s="225"/>
      <c r="H7" s="225"/>
      <c r="I7" s="225"/>
      <c r="J7" s="226"/>
      <c r="Z7" s="112" t="s">
        <v>13</v>
      </c>
      <c r="AA7" s="112" t="s">
        <v>11</v>
      </c>
    </row>
    <row r="8" spans="1:27" ht="30.75">
      <c r="A8" s="7">
        <v>1</v>
      </c>
      <c r="B8" s="158" t="s">
        <v>10</v>
      </c>
      <c r="C8" s="9">
        <v>0</v>
      </c>
      <c r="D8" s="9"/>
      <c r="E8" s="9"/>
      <c r="F8" s="10"/>
      <c r="G8" s="9">
        <f>SUM(C8:F8)</f>
        <v>0</v>
      </c>
      <c r="H8" s="7">
        <f>IF(G8&gt;1,1,0)</f>
        <v>0</v>
      </c>
      <c r="I8" s="218">
        <f>COUNT(E8:F16)</f>
        <v>4</v>
      </c>
      <c r="J8" s="218" t="str">
        <f>IF(SUM(I8)&gt;=6,"In-Attentions","Attentions")</f>
        <v>Attentions</v>
      </c>
      <c r="K8" t="str">
        <f>VLOOKUP(B8,ADHD_Questions_Single,2,FALSE)</f>
        <v xml:space="preserve">Attention
</v>
      </c>
      <c r="Z8" s="112" t="s">
        <v>14</v>
      </c>
      <c r="AA8" s="112" t="s">
        <v>11</v>
      </c>
    </row>
    <row r="9" spans="1:27" ht="30.75">
      <c r="A9" s="7">
        <v>2</v>
      </c>
      <c r="B9" s="158" t="s">
        <v>15</v>
      </c>
      <c r="C9" s="9">
        <v>0</v>
      </c>
      <c r="D9" s="9"/>
      <c r="E9" s="9"/>
      <c r="F9" s="9"/>
      <c r="G9" s="9">
        <f t="shared" ref="G9:G16" si="0">SUM(C9:F9)</f>
        <v>0</v>
      </c>
      <c r="H9" s="7">
        <f t="shared" ref="H9:H35" si="1">IF(G9&gt;1,1,0)</f>
        <v>0</v>
      </c>
      <c r="I9" s="219"/>
      <c r="J9" s="219"/>
      <c r="K9" t="str">
        <f>VLOOKUP(B9,ADHD_Questions_Single,2,FALSE)</f>
        <v xml:space="preserve">Attention
</v>
      </c>
      <c r="Z9" s="112" t="s">
        <v>16</v>
      </c>
      <c r="AA9" s="112" t="s">
        <v>11</v>
      </c>
    </row>
    <row r="10" spans="1:27" ht="39.75">
      <c r="A10" s="7">
        <v>3</v>
      </c>
      <c r="B10" s="158" t="s">
        <v>17</v>
      </c>
      <c r="C10" s="9"/>
      <c r="D10" s="9">
        <v>1</v>
      </c>
      <c r="E10" s="9"/>
      <c r="F10" s="10"/>
      <c r="G10" s="9">
        <f t="shared" si="0"/>
        <v>1</v>
      </c>
      <c r="H10" s="7">
        <f t="shared" si="1"/>
        <v>0</v>
      </c>
      <c r="I10" s="219"/>
      <c r="J10" s="219"/>
      <c r="K10" t="str">
        <f>VLOOKUP(B10,ADHD_Questions_Single,2,FALSE)</f>
        <v xml:space="preserve">Attention
</v>
      </c>
      <c r="Z10" s="103" t="s">
        <v>15</v>
      </c>
      <c r="AA10" s="112" t="s">
        <v>11</v>
      </c>
    </row>
    <row r="11" spans="1:27" ht="30.75">
      <c r="A11" s="7">
        <v>4</v>
      </c>
      <c r="B11" s="158" t="s">
        <v>14</v>
      </c>
      <c r="C11" s="9"/>
      <c r="D11" s="9">
        <v>1</v>
      </c>
      <c r="E11" s="9"/>
      <c r="F11" s="9"/>
      <c r="G11" s="9">
        <f t="shared" si="0"/>
        <v>1</v>
      </c>
      <c r="H11" s="7">
        <f t="shared" si="1"/>
        <v>0</v>
      </c>
      <c r="I11" s="219"/>
      <c r="J11" s="219"/>
      <c r="K11" t="str">
        <f>VLOOKUP(B11,ADHD_Questions_Single,2,FALSE)</f>
        <v xml:space="preserve">Attention
</v>
      </c>
      <c r="Z11" s="112" t="s">
        <v>18</v>
      </c>
      <c r="AA11" s="112" t="s">
        <v>11</v>
      </c>
    </row>
    <row r="12" spans="1:27" ht="30.75">
      <c r="A12" s="7">
        <v>5</v>
      </c>
      <c r="B12" s="158" t="s">
        <v>18</v>
      </c>
      <c r="C12" s="9"/>
      <c r="D12" s="9"/>
      <c r="E12" s="9">
        <v>2</v>
      </c>
      <c r="F12" s="10"/>
      <c r="G12" s="9">
        <f t="shared" si="0"/>
        <v>2</v>
      </c>
      <c r="H12" s="7">
        <f t="shared" si="1"/>
        <v>1</v>
      </c>
      <c r="I12" s="219"/>
      <c r="J12" s="219"/>
      <c r="K12" t="str">
        <f>VLOOKUP(B12,ADHD_Questions_Single,2,FALSE)</f>
        <v xml:space="preserve">Attention
</v>
      </c>
      <c r="Z12" s="112" t="s">
        <v>19</v>
      </c>
      <c r="AA12" s="112" t="s">
        <v>11</v>
      </c>
    </row>
    <row r="13" spans="1:27" ht="30.75">
      <c r="A13" s="7">
        <v>6</v>
      </c>
      <c r="B13" s="158" t="s">
        <v>13</v>
      </c>
      <c r="C13" s="9"/>
      <c r="D13" s="9"/>
      <c r="E13" s="9">
        <v>2</v>
      </c>
      <c r="F13" s="10"/>
      <c r="G13" s="9">
        <f t="shared" si="0"/>
        <v>2</v>
      </c>
      <c r="H13" s="7">
        <f t="shared" si="1"/>
        <v>1</v>
      </c>
      <c r="I13" s="219"/>
      <c r="J13" s="219"/>
      <c r="K13" t="str">
        <f>VLOOKUP(B13,ADHD_Questions_Single,2,FALSE)</f>
        <v xml:space="preserve">Attention
</v>
      </c>
      <c r="Z13" s="112" t="s">
        <v>17</v>
      </c>
      <c r="AA13" s="112" t="s">
        <v>11</v>
      </c>
    </row>
    <row r="14" spans="1:27" ht="45.75" customHeight="1">
      <c r="A14" s="7">
        <v>7</v>
      </c>
      <c r="B14" s="158" t="s">
        <v>16</v>
      </c>
      <c r="C14" s="9"/>
      <c r="D14" s="9"/>
      <c r="E14" s="9"/>
      <c r="F14" s="10">
        <v>3</v>
      </c>
      <c r="G14" s="9">
        <f t="shared" si="0"/>
        <v>3</v>
      </c>
      <c r="H14" s="7">
        <f t="shared" si="1"/>
        <v>1</v>
      </c>
      <c r="I14" s="219"/>
      <c r="J14" s="219"/>
      <c r="K14" t="str">
        <f>VLOOKUP(B14,ADHD_Questions_Single,2,FALSE)</f>
        <v xml:space="preserve">Attention
</v>
      </c>
      <c r="Z14" s="103" t="s">
        <v>20</v>
      </c>
      <c r="AA14" s="112" t="s">
        <v>11</v>
      </c>
    </row>
    <row r="15" spans="1:27" ht="19.5">
      <c r="A15" s="7">
        <v>8</v>
      </c>
      <c r="B15" s="158" t="s">
        <v>20</v>
      </c>
      <c r="C15" s="9"/>
      <c r="D15" s="9"/>
      <c r="E15" s="9"/>
      <c r="F15" s="9">
        <v>3</v>
      </c>
      <c r="G15" s="9">
        <f t="shared" si="0"/>
        <v>3</v>
      </c>
      <c r="H15" s="7">
        <f t="shared" si="1"/>
        <v>1</v>
      </c>
      <c r="I15" s="219"/>
      <c r="J15" s="219"/>
      <c r="K15" t="str">
        <f>VLOOKUP(B15,ADHD_Questions_Single,2,FALSE)</f>
        <v xml:space="preserve">Attention
</v>
      </c>
      <c r="Z15" s="103" t="s">
        <v>21</v>
      </c>
      <c r="AA15" s="103" t="s">
        <v>22</v>
      </c>
    </row>
    <row r="16" spans="1:27" ht="19.5">
      <c r="A16" s="7">
        <v>9</v>
      </c>
      <c r="B16" s="158" t="s">
        <v>19</v>
      </c>
      <c r="C16" s="9">
        <v>0</v>
      </c>
      <c r="D16" s="9"/>
      <c r="E16" s="9"/>
      <c r="F16" s="9"/>
      <c r="G16" s="9">
        <f t="shared" si="0"/>
        <v>0</v>
      </c>
      <c r="H16" s="7">
        <f t="shared" si="1"/>
        <v>0</v>
      </c>
      <c r="I16" s="220"/>
      <c r="J16" s="220"/>
      <c r="K16" t="str">
        <f>VLOOKUP(B16,ADHD_Questions_Single,2,FALSE)</f>
        <v xml:space="preserve">Attention
</v>
      </c>
      <c r="Z16" s="112" t="s">
        <v>23</v>
      </c>
      <c r="AA16" s="103" t="s">
        <v>22</v>
      </c>
    </row>
    <row r="17" spans="1:27" ht="19.5">
      <c r="A17" s="227" t="s">
        <v>24</v>
      </c>
      <c r="B17" s="228"/>
      <c r="C17" s="229"/>
      <c r="D17" s="229"/>
      <c r="E17" s="229"/>
      <c r="F17" s="229"/>
      <c r="G17" s="229"/>
      <c r="H17" s="229"/>
      <c r="I17" s="229"/>
      <c r="J17" s="230"/>
      <c r="Z17" s="112" t="s">
        <v>25</v>
      </c>
      <c r="AA17" s="103" t="s">
        <v>22</v>
      </c>
    </row>
    <row r="18" spans="1:27" ht="30.75">
      <c r="A18" s="155">
        <v>10</v>
      </c>
      <c r="B18" s="159" t="s">
        <v>26</v>
      </c>
      <c r="C18" s="156">
        <v>0</v>
      </c>
      <c r="D18" s="13"/>
      <c r="E18" s="13"/>
      <c r="F18" s="13"/>
      <c r="G18" s="13">
        <f>SUM(C18:F18)</f>
        <v>0</v>
      </c>
      <c r="H18" s="11">
        <f>IF(G18&gt;1,1,0)</f>
        <v>0</v>
      </c>
      <c r="I18" s="234">
        <f>COUNT(E18:F26)</f>
        <v>6</v>
      </c>
      <c r="J18" s="238" t="str">
        <f>IF(SUM(I18)&gt;=6,"Hyperactivity/Impulsive","Relaxed/Apathy")</f>
        <v>Hyperactivity/Impulsive</v>
      </c>
      <c r="K18" t="str">
        <f>VLOOKUP(B20,ADHD_Questions_Single,2,FALSE)</f>
        <v>Hyperactive/Impulsive</v>
      </c>
      <c r="Z18" s="112" t="s">
        <v>27</v>
      </c>
      <c r="AA18" s="103" t="s">
        <v>22</v>
      </c>
    </row>
    <row r="19" spans="1:27" ht="30.75">
      <c r="A19" s="155">
        <v>11</v>
      </c>
      <c r="B19" s="159" t="s">
        <v>21</v>
      </c>
      <c r="C19" s="156"/>
      <c r="D19" s="13">
        <v>1</v>
      </c>
      <c r="E19" s="13"/>
      <c r="F19" s="14"/>
      <c r="G19" s="13">
        <f>SUM(C19:F19)</f>
        <v>1</v>
      </c>
      <c r="H19" s="11">
        <f t="shared" ref="H19:H26" si="2">IF(G19&gt;1,1,0)</f>
        <v>0</v>
      </c>
      <c r="I19" s="235"/>
      <c r="J19" s="239"/>
      <c r="K19" t="str">
        <f>VLOOKUP(B21,ADHD_Questions_Single,2,FALSE)</f>
        <v>Hyperactive/Impulsive</v>
      </c>
      <c r="Z19" s="112" t="s">
        <v>26</v>
      </c>
      <c r="AA19" s="103" t="s">
        <v>22</v>
      </c>
    </row>
    <row r="20" spans="1:27" ht="19.5">
      <c r="A20" s="155">
        <v>12</v>
      </c>
      <c r="B20" s="159" t="s">
        <v>27</v>
      </c>
      <c r="C20" s="156"/>
      <c r="D20" s="13">
        <v>1</v>
      </c>
      <c r="E20" s="13"/>
      <c r="F20" s="14"/>
      <c r="G20" s="13">
        <f>SUM(C20:F20)</f>
        <v>1</v>
      </c>
      <c r="H20" s="11">
        <f t="shared" si="2"/>
        <v>0</v>
      </c>
      <c r="I20" s="235"/>
      <c r="J20" s="239"/>
      <c r="K20" t="str">
        <f>VLOOKUP(B20,ADHD_Questions_Single,2,FALSE)</f>
        <v>Hyperactive/Impulsive</v>
      </c>
      <c r="Z20" s="103" t="s">
        <v>28</v>
      </c>
      <c r="AA20" s="103" t="s">
        <v>22</v>
      </c>
    </row>
    <row r="21" spans="1:27" ht="19.5">
      <c r="A21" s="155">
        <v>13</v>
      </c>
      <c r="B21" s="159" t="s">
        <v>25</v>
      </c>
      <c r="C21" s="156"/>
      <c r="D21" s="13"/>
      <c r="E21" s="13">
        <v>2</v>
      </c>
      <c r="F21" s="14"/>
      <c r="G21" s="13">
        <f>SUM(C21:F21)</f>
        <v>2</v>
      </c>
      <c r="H21" s="11">
        <f t="shared" si="2"/>
        <v>1</v>
      </c>
      <c r="I21" s="235"/>
      <c r="J21" s="239"/>
      <c r="K21" t="str">
        <f>VLOOKUP(B23,ADHD_Questions_Single,2,FALSE)</f>
        <v>Hyperactive/Impulsive</v>
      </c>
      <c r="Z21" s="119" t="s">
        <v>29</v>
      </c>
      <c r="AA21" s="110" t="s">
        <v>22</v>
      </c>
    </row>
    <row r="22" spans="1:27" ht="45.75">
      <c r="A22" s="155">
        <v>14</v>
      </c>
      <c r="B22" s="159" t="s">
        <v>30</v>
      </c>
      <c r="C22" s="156"/>
      <c r="D22" s="13"/>
      <c r="E22" s="13">
        <v>2</v>
      </c>
      <c r="F22" s="13"/>
      <c r="G22" s="13">
        <f t="shared" ref="G22:G26" si="3">SUM(C22:F22)</f>
        <v>2</v>
      </c>
      <c r="H22" s="11">
        <f t="shared" si="2"/>
        <v>1</v>
      </c>
      <c r="I22" s="235"/>
      <c r="J22" s="239"/>
      <c r="K22" t="str">
        <f>VLOOKUP(B24,ADHD_Questions_Single,2,FALSE)</f>
        <v>Hyperactive/Impulsive</v>
      </c>
      <c r="Z22" s="112" t="s">
        <v>31</v>
      </c>
      <c r="AA22" s="110" t="s">
        <v>22</v>
      </c>
    </row>
    <row r="23" spans="1:27">
      <c r="A23" s="155">
        <v>15</v>
      </c>
      <c r="B23" s="159" t="s">
        <v>23</v>
      </c>
      <c r="C23" s="156"/>
      <c r="D23" s="13"/>
      <c r="E23" s="13"/>
      <c r="F23" s="13">
        <v>3</v>
      </c>
      <c r="G23" s="13">
        <f t="shared" si="3"/>
        <v>3</v>
      </c>
      <c r="H23" s="11">
        <f t="shared" si="2"/>
        <v>1</v>
      </c>
      <c r="I23" s="235"/>
      <c r="J23" s="239"/>
      <c r="K23" t="str">
        <f>VLOOKUP(B25,ADHD_Questions_Single,2,FALSE)</f>
        <v>Hyperactive/Impulsive</v>
      </c>
      <c r="Z23" s="168" t="s">
        <v>32</v>
      </c>
      <c r="AA23" s="145" t="s">
        <v>33</v>
      </c>
    </row>
    <row r="24" spans="1:27">
      <c r="A24" s="155">
        <v>16</v>
      </c>
      <c r="B24" s="159" t="s">
        <v>28</v>
      </c>
      <c r="C24" s="156"/>
      <c r="D24" s="13"/>
      <c r="E24" s="13"/>
      <c r="F24" s="13">
        <v>3</v>
      </c>
      <c r="G24" s="13">
        <f t="shared" si="3"/>
        <v>3</v>
      </c>
      <c r="H24" s="11">
        <f t="shared" si="2"/>
        <v>1</v>
      </c>
      <c r="I24" s="235"/>
      <c r="J24" s="239"/>
      <c r="K24" t="str">
        <f>VLOOKUP(B24,ADHD_Questions_Single,2,FALSE)</f>
        <v>Hyperactive/Impulsive</v>
      </c>
      <c r="Z24" s="112" t="s">
        <v>34</v>
      </c>
      <c r="AA24" s="98" t="s">
        <v>33</v>
      </c>
    </row>
    <row r="25" spans="1:27">
      <c r="A25" s="164">
        <v>17</v>
      </c>
      <c r="B25" s="165" t="s">
        <v>29</v>
      </c>
      <c r="C25" s="166"/>
      <c r="D25" s="167"/>
      <c r="E25" s="167"/>
      <c r="F25" s="167">
        <v>3</v>
      </c>
      <c r="G25" s="13">
        <f t="shared" si="3"/>
        <v>3</v>
      </c>
      <c r="H25" s="11">
        <f t="shared" si="2"/>
        <v>1</v>
      </c>
      <c r="I25" s="235"/>
      <c r="J25" s="239"/>
      <c r="K25" t="str">
        <f>VLOOKUP(B25,ADHD_Questions_Single,2,FALSE)</f>
        <v>Hyperactive/Impulsive</v>
      </c>
      <c r="Z25" s="112" t="s">
        <v>35</v>
      </c>
      <c r="AA25" s="98" t="s">
        <v>33</v>
      </c>
    </row>
    <row r="26" spans="1:27" ht="45.75">
      <c r="A26" s="162">
        <v>18</v>
      </c>
      <c r="B26" s="160" t="s">
        <v>31</v>
      </c>
      <c r="C26" s="163"/>
      <c r="D26" s="163"/>
      <c r="E26" s="163"/>
      <c r="F26" s="163">
        <v>3</v>
      </c>
      <c r="G26" s="13">
        <f t="shared" si="3"/>
        <v>3</v>
      </c>
      <c r="H26" s="11">
        <f t="shared" si="2"/>
        <v>1</v>
      </c>
      <c r="I26" s="236"/>
      <c r="J26" s="240"/>
      <c r="K26" t="str">
        <f>VLOOKUP(B26,ADHD_Questions_Single,2,FALSE)</f>
        <v>Hyperactive/Impulsive</v>
      </c>
      <c r="Z26" s="112" t="s">
        <v>36</v>
      </c>
      <c r="AA26" s="98" t="s">
        <v>33</v>
      </c>
    </row>
    <row r="27" spans="1:27" ht="19.5">
      <c r="A27" s="221" t="s">
        <v>37</v>
      </c>
      <c r="B27" s="222"/>
      <c r="C27" s="222"/>
      <c r="D27" s="222"/>
      <c r="E27" s="222"/>
      <c r="F27" s="222"/>
      <c r="G27" s="222"/>
      <c r="H27" s="222"/>
      <c r="I27" s="222"/>
      <c r="J27" s="223"/>
      <c r="Z27" s="110" t="s">
        <v>38</v>
      </c>
      <c r="AA27" s="109" t="s">
        <v>33</v>
      </c>
    </row>
    <row r="28" spans="1:27" ht="30.75" customHeight="1">
      <c r="A28" s="172">
        <v>19</v>
      </c>
      <c r="B28" s="161" t="s">
        <v>39</v>
      </c>
      <c r="C28" s="171">
        <v>0</v>
      </c>
      <c r="D28" s="171"/>
      <c r="E28" s="171"/>
      <c r="F28" s="171"/>
      <c r="G28" s="171">
        <f>SUM(C28:F28)</f>
        <v>0</v>
      </c>
      <c r="H28" s="170">
        <f t="shared" si="1"/>
        <v>0</v>
      </c>
      <c r="I28" s="231">
        <f>COUNT(E28:F35)</f>
        <v>4</v>
      </c>
      <c r="J28" s="237" t="str">
        <f>IF(SUM(I28)&gt;4,"Oppositional Defient Disorder","Conduct Disorder")</f>
        <v>Conduct Disorder</v>
      </c>
      <c r="K28" s="98" t="str">
        <f>VLOOKUP(B28,ADHD_Questions_Single,2,FALSE)</f>
        <v>Oppositional Defiant Disorder</v>
      </c>
      <c r="Z28" s="112" t="s">
        <v>40</v>
      </c>
      <c r="AA28" s="98" t="s">
        <v>33</v>
      </c>
    </row>
    <row r="29" spans="1:27" ht="30.75">
      <c r="A29" s="172">
        <v>21</v>
      </c>
      <c r="B29" s="161" t="s">
        <v>41</v>
      </c>
      <c r="C29" s="171">
        <v>0</v>
      </c>
      <c r="D29" s="171"/>
      <c r="E29" s="171"/>
      <c r="F29" s="169"/>
      <c r="G29" s="171">
        <f t="shared" ref="G29:G35" si="4">SUM(C29:F29)</f>
        <v>0</v>
      </c>
      <c r="H29" s="170">
        <f t="shared" si="1"/>
        <v>0</v>
      </c>
      <c r="I29" s="232"/>
      <c r="J29" s="237"/>
      <c r="K29" s="98" t="str">
        <f>VLOOKUP(B29,ADHD_Questions_Single,2,FALSE)</f>
        <v>Oppositional Defiant Disorder</v>
      </c>
      <c r="Z29" s="29" t="s">
        <v>39</v>
      </c>
      <c r="AA29" s="98" t="s">
        <v>33</v>
      </c>
    </row>
    <row r="30" spans="1:27" ht="59.25">
      <c r="A30" s="172">
        <v>22</v>
      </c>
      <c r="B30" s="161" t="s">
        <v>36</v>
      </c>
      <c r="C30" s="171"/>
      <c r="D30" s="171">
        <v>1</v>
      </c>
      <c r="E30" s="171"/>
      <c r="F30" s="169"/>
      <c r="G30" s="171">
        <f t="shared" si="4"/>
        <v>1</v>
      </c>
      <c r="H30" s="170">
        <f t="shared" si="1"/>
        <v>0</v>
      </c>
      <c r="I30" s="232"/>
      <c r="J30" s="237"/>
      <c r="K30" s="98" t="str">
        <f>VLOOKUP(B30,ADHD_Questions_Single,2,FALSE)</f>
        <v>Oppositional Defiant Disorder</v>
      </c>
      <c r="Z30" s="153" t="s">
        <v>41</v>
      </c>
      <c r="AA30" s="98" t="s">
        <v>33</v>
      </c>
    </row>
    <row r="31" spans="1:27">
      <c r="A31" s="172">
        <v>23</v>
      </c>
      <c r="B31" s="161" t="s">
        <v>32</v>
      </c>
      <c r="C31" s="171"/>
      <c r="D31" s="171">
        <v>1</v>
      </c>
      <c r="E31" s="171"/>
      <c r="F31" s="169"/>
      <c r="G31" s="171">
        <f t="shared" si="4"/>
        <v>1</v>
      </c>
      <c r="H31" s="170">
        <f t="shared" si="1"/>
        <v>0</v>
      </c>
      <c r="I31" s="232"/>
      <c r="J31" s="237"/>
      <c r="K31" s="98" t="str">
        <f>VLOOKUP(B31,ADHD_Questions_Single,2,FALSE)</f>
        <v>Oppositional Defiant Disorder</v>
      </c>
    </row>
    <row r="32" spans="1:27" ht="30" customHeight="1">
      <c r="A32" s="172">
        <v>25</v>
      </c>
      <c r="B32" s="161" t="s">
        <v>40</v>
      </c>
      <c r="C32" s="171"/>
      <c r="D32" s="171"/>
      <c r="E32" s="171">
        <v>2</v>
      </c>
      <c r="F32" s="169"/>
      <c r="G32" s="171">
        <f t="shared" si="4"/>
        <v>2</v>
      </c>
      <c r="H32" s="170">
        <f t="shared" si="1"/>
        <v>1</v>
      </c>
      <c r="I32" s="232"/>
      <c r="J32" s="237"/>
      <c r="K32" s="98" t="str">
        <f>VLOOKUP(B32,ADHD_Questions_Single,2,FALSE)</f>
        <v>Oppositional Defiant Disorder</v>
      </c>
    </row>
    <row r="33" spans="1:26">
      <c r="A33" s="172">
        <v>26</v>
      </c>
      <c r="B33" s="161" t="s">
        <v>38</v>
      </c>
      <c r="C33" s="169"/>
      <c r="D33" s="169"/>
      <c r="E33" s="169">
        <v>2</v>
      </c>
      <c r="F33" s="169"/>
      <c r="G33" s="171">
        <f t="shared" si="4"/>
        <v>2</v>
      </c>
      <c r="H33" s="170">
        <f t="shared" si="1"/>
        <v>1</v>
      </c>
      <c r="I33" s="232"/>
      <c r="J33" s="237"/>
      <c r="K33" s="98" t="str">
        <f>VLOOKUP(B33,ADHD_Questions_Single,2,FALSE)</f>
        <v>Oppositional Defiant Disorder</v>
      </c>
    </row>
    <row r="34" spans="1:26">
      <c r="A34" s="172">
        <v>27</v>
      </c>
      <c r="B34" s="161" t="s">
        <v>35</v>
      </c>
      <c r="C34" s="169"/>
      <c r="D34" s="169"/>
      <c r="E34" s="169"/>
      <c r="F34" s="169">
        <v>3</v>
      </c>
      <c r="G34" s="171">
        <f t="shared" si="4"/>
        <v>3</v>
      </c>
      <c r="H34" s="170">
        <f t="shared" si="1"/>
        <v>1</v>
      </c>
      <c r="I34" s="232"/>
      <c r="J34" s="237"/>
      <c r="K34" s="98" t="str">
        <f>VLOOKUP(B34,ADHD_Questions_Single,2,FALSE)</f>
        <v>Oppositional Defiant Disorder</v>
      </c>
    </row>
    <row r="35" spans="1:26">
      <c r="A35" s="172">
        <v>28</v>
      </c>
      <c r="B35" s="161" t="s">
        <v>34</v>
      </c>
      <c r="C35" s="169"/>
      <c r="D35" s="169"/>
      <c r="E35" s="169"/>
      <c r="F35" s="169">
        <v>3</v>
      </c>
      <c r="G35" s="171">
        <f t="shared" si="4"/>
        <v>3</v>
      </c>
      <c r="H35" s="170">
        <f t="shared" si="1"/>
        <v>1</v>
      </c>
      <c r="I35" s="233"/>
      <c r="J35" s="237"/>
      <c r="K35" s="98" t="str">
        <f>VLOOKUP(B35,ADHD_Questions_Single,2,FALSE)</f>
        <v>Oppositional Defiant Disorder</v>
      </c>
    </row>
    <row r="37" spans="1:26" ht="17.25" customHeight="1"/>
    <row r="38" spans="1:26" ht="17.25">
      <c r="Z38" s="153"/>
    </row>
    <row r="42" spans="1:26" ht="17.25">
      <c r="Z42" s="153"/>
    </row>
    <row r="46" spans="1:26" ht="17.25">
      <c r="Z46" s="153"/>
    </row>
    <row r="50" spans="26:26" ht="17.25">
      <c r="Z50" s="153"/>
    </row>
    <row r="54" spans="26:26" ht="17.25">
      <c r="Z54" s="153"/>
    </row>
    <row r="58" spans="26:26" ht="17.25">
      <c r="Z58" s="153"/>
    </row>
    <row r="62" spans="26:26" ht="17.25">
      <c r="Z62" s="153"/>
    </row>
    <row r="66" spans="26:26" ht="17.25">
      <c r="Z66" s="153"/>
    </row>
    <row r="70" spans="26:26" ht="17.25">
      <c r="Z70" s="153"/>
    </row>
    <row r="74" spans="26:26" ht="17.25" customHeight="1">
      <c r="Z74" s="154"/>
    </row>
    <row r="75" spans="26:26" ht="17.25">
      <c r="Z75" s="153"/>
    </row>
    <row r="79" spans="26:26" ht="17.25">
      <c r="Z79" s="153"/>
    </row>
    <row r="83" spans="26:26" ht="17.25">
      <c r="Z83" s="153"/>
    </row>
    <row r="87" spans="26:26" ht="17.25">
      <c r="Z87" s="153"/>
    </row>
    <row r="91" spans="26:26" ht="17.25">
      <c r="Z91" s="153"/>
    </row>
    <row r="95" spans="26:26" ht="17.25">
      <c r="Z95" s="153"/>
    </row>
    <row r="99" spans="26:26" ht="17.25">
      <c r="Z99" s="153"/>
    </row>
    <row r="103" spans="26:26" ht="17.25">
      <c r="Z103" s="153"/>
    </row>
  </sheetData>
  <mergeCells count="10">
    <mergeCell ref="I28:I35"/>
    <mergeCell ref="I18:I26"/>
    <mergeCell ref="I8:I16"/>
    <mergeCell ref="J28:J35"/>
    <mergeCell ref="J18:J26"/>
    <mergeCell ref="A1:J1"/>
    <mergeCell ref="J8:J16"/>
    <mergeCell ref="A27:J27"/>
    <mergeCell ref="A7:J7"/>
    <mergeCell ref="A17:J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D3BCD-2EDC-41F3-807A-174650E60DD7}">
  <sheetPr codeName="Sheet2"/>
  <dimension ref="A1:I35"/>
  <sheetViews>
    <sheetView topLeftCell="A6" workbookViewId="0">
      <selection activeCell="K13" sqref="K13"/>
    </sheetView>
  </sheetViews>
  <sheetFormatPr defaultRowHeight="15"/>
  <cols>
    <col min="1" max="1" width="9.140625" style="5"/>
    <col min="2" max="2" width="42.28515625" customWidth="1"/>
    <col min="3" max="3" width="17.28515625" customWidth="1"/>
    <col min="4" max="4" width="15.28515625" customWidth="1"/>
    <col min="5" max="5" width="16" customWidth="1"/>
    <col min="6" max="6" width="16.28515625" customWidth="1"/>
    <col min="7" max="7" width="19.42578125" customWidth="1"/>
    <col min="8" max="8" width="31.7109375" customWidth="1"/>
    <col min="9" max="9" width="27.7109375" customWidth="1"/>
  </cols>
  <sheetData>
    <row r="1" spans="1:9">
      <c r="A1" s="244" t="s">
        <v>42</v>
      </c>
      <c r="B1" s="244"/>
      <c r="C1" s="244"/>
      <c r="D1" s="244"/>
      <c r="E1" s="244"/>
      <c r="F1" s="244"/>
      <c r="G1" s="244"/>
      <c r="H1" s="244"/>
      <c r="I1" s="244"/>
    </row>
    <row r="2" spans="1:9">
      <c r="A2" s="4">
        <v>1</v>
      </c>
      <c r="B2" s="2" t="str">
        <f>IF(SUM(G8:G16)/9&lt;1.78,"Attention","InAttention")</f>
        <v>Attention</v>
      </c>
    </row>
    <row r="3" spans="1:9">
      <c r="A3" s="4">
        <v>2</v>
      </c>
      <c r="B3" s="2" t="str">
        <f>IF(SUM(G18:G26)/9&lt;=1.44,"Relaxed/Apathy","Hyperactivity/Impulsive")</f>
        <v>Hyperactivity/Impulsive</v>
      </c>
    </row>
    <row r="4" spans="1:9">
      <c r="A4" s="4">
        <v>3</v>
      </c>
      <c r="B4" s="2" t="str">
        <f>IF(SUM(G28:G35)/8&lt;=1.88,"Conduct Disorder","Opositional Deficient")</f>
        <v>Conduct Disorder</v>
      </c>
    </row>
    <row r="6" spans="1:9" ht="47.25" customHeight="1">
      <c r="A6" s="6" t="s">
        <v>1</v>
      </c>
      <c r="B6" s="1" t="s">
        <v>43</v>
      </c>
      <c r="C6" s="1" t="s">
        <v>44</v>
      </c>
      <c r="D6" s="1" t="s">
        <v>45</v>
      </c>
      <c r="E6" s="1" t="s">
        <v>46</v>
      </c>
      <c r="F6" s="1" t="s">
        <v>47</v>
      </c>
      <c r="G6" s="1" t="s">
        <v>7</v>
      </c>
      <c r="H6" s="22" t="s">
        <v>48</v>
      </c>
      <c r="I6" s="1" t="s">
        <v>49</v>
      </c>
    </row>
    <row r="7" spans="1:9" ht="19.5" customHeight="1">
      <c r="A7" s="224" t="s">
        <v>50</v>
      </c>
      <c r="B7" s="225"/>
      <c r="C7" s="225"/>
      <c r="D7" s="225"/>
      <c r="E7" s="225"/>
      <c r="F7" s="225"/>
      <c r="G7" s="225"/>
      <c r="H7" s="225"/>
      <c r="I7" s="226"/>
    </row>
    <row r="8" spans="1:9" ht="40.5" customHeight="1">
      <c r="A8" s="7">
        <v>1</v>
      </c>
      <c r="B8" s="9" t="s">
        <v>51</v>
      </c>
      <c r="C8" s="9">
        <v>0</v>
      </c>
      <c r="D8" s="9"/>
      <c r="E8" s="19"/>
      <c r="F8" s="19"/>
      <c r="G8" s="19">
        <f>SUM(C8:F8)</f>
        <v>0</v>
      </c>
      <c r="H8" s="248">
        <f>SUM(G8:G16)/9</f>
        <v>1.6666666666666667</v>
      </c>
      <c r="I8" s="248" t="str">
        <f>IF(SUM(G8:G16)/9&lt;=1.78,"Attention","InAttention")</f>
        <v>Attention</v>
      </c>
    </row>
    <row r="9" spans="1:9" ht="33" customHeight="1">
      <c r="A9" s="7">
        <v>2</v>
      </c>
      <c r="B9" s="9" t="s">
        <v>52</v>
      </c>
      <c r="C9" s="9">
        <v>0</v>
      </c>
      <c r="D9" s="9"/>
      <c r="E9" s="19"/>
      <c r="F9" s="19"/>
      <c r="G9" s="19">
        <f t="shared" ref="G9:G16" si="0">SUM(C9:F9)</f>
        <v>0</v>
      </c>
      <c r="H9" s="249"/>
      <c r="I9" s="249"/>
    </row>
    <row r="10" spans="1:9" ht="28.5" customHeight="1">
      <c r="A10" s="7">
        <v>3</v>
      </c>
      <c r="B10" s="9" t="s">
        <v>53</v>
      </c>
      <c r="C10" s="9"/>
      <c r="D10" s="9">
        <v>1</v>
      </c>
      <c r="E10" s="19"/>
      <c r="F10" s="19"/>
      <c r="G10" s="19">
        <f t="shared" si="0"/>
        <v>1</v>
      </c>
      <c r="H10" s="249"/>
      <c r="I10" s="249"/>
    </row>
    <row r="11" spans="1:9" ht="40.5" customHeight="1">
      <c r="A11" s="7">
        <v>4</v>
      </c>
      <c r="B11" s="9" t="s">
        <v>54</v>
      </c>
      <c r="C11" s="9"/>
      <c r="D11" s="9">
        <v>1</v>
      </c>
      <c r="E11" s="19"/>
      <c r="F11" s="19"/>
      <c r="G11" s="19">
        <f t="shared" si="0"/>
        <v>1</v>
      </c>
      <c r="H11" s="249"/>
      <c r="I11" s="249"/>
    </row>
    <row r="12" spans="1:9" ht="27.75" customHeight="1">
      <c r="A12" s="7">
        <v>5</v>
      </c>
      <c r="B12" s="9" t="s">
        <v>55</v>
      </c>
      <c r="C12" s="9"/>
      <c r="D12" s="9"/>
      <c r="E12" s="9">
        <v>2</v>
      </c>
      <c r="F12" s="19"/>
      <c r="G12" s="19">
        <f t="shared" si="0"/>
        <v>2</v>
      </c>
      <c r="H12" s="249"/>
      <c r="I12" s="249"/>
    </row>
    <row r="13" spans="1:9" ht="41.25" customHeight="1">
      <c r="A13" s="7">
        <v>6</v>
      </c>
      <c r="B13" s="9" t="s">
        <v>56</v>
      </c>
      <c r="C13" s="9"/>
      <c r="D13" s="9"/>
      <c r="E13" s="19">
        <v>2</v>
      </c>
      <c r="F13" s="19"/>
      <c r="G13" s="19">
        <f t="shared" si="0"/>
        <v>2</v>
      </c>
      <c r="H13" s="249"/>
      <c r="I13" s="249"/>
    </row>
    <row r="14" spans="1:9" ht="39" customHeight="1">
      <c r="A14" s="7">
        <v>7</v>
      </c>
      <c r="B14" s="9" t="s">
        <v>57</v>
      </c>
      <c r="C14" s="9"/>
      <c r="D14" s="9"/>
      <c r="E14" s="19"/>
      <c r="F14" s="19">
        <v>3</v>
      </c>
      <c r="G14" s="19">
        <f t="shared" si="0"/>
        <v>3</v>
      </c>
      <c r="H14" s="249"/>
      <c r="I14" s="249"/>
    </row>
    <row r="15" spans="1:9">
      <c r="A15" s="7">
        <v>8</v>
      </c>
      <c r="B15" s="9" t="s">
        <v>58</v>
      </c>
      <c r="C15" s="9"/>
      <c r="D15" s="9"/>
      <c r="E15" s="9"/>
      <c r="F15" s="19">
        <v>3</v>
      </c>
      <c r="G15" s="19">
        <f t="shared" si="0"/>
        <v>3</v>
      </c>
      <c r="H15" s="249"/>
      <c r="I15" s="249"/>
    </row>
    <row r="16" spans="1:9">
      <c r="A16" s="7">
        <v>9</v>
      </c>
      <c r="B16" s="9" t="s">
        <v>59</v>
      </c>
      <c r="C16" s="9"/>
      <c r="D16" s="9"/>
      <c r="E16" s="9"/>
      <c r="F16" s="19">
        <v>3</v>
      </c>
      <c r="G16" s="19">
        <f t="shared" si="0"/>
        <v>3</v>
      </c>
      <c r="H16" s="250"/>
      <c r="I16" s="250"/>
    </row>
    <row r="17" spans="1:9">
      <c r="A17" s="227" t="s">
        <v>60</v>
      </c>
      <c r="B17" s="229"/>
      <c r="C17" s="229"/>
      <c r="D17" s="229"/>
      <c r="E17" s="229"/>
      <c r="F17" s="229"/>
      <c r="G17" s="229"/>
      <c r="H17" s="229"/>
      <c r="I17" s="230"/>
    </row>
    <row r="18" spans="1:9" ht="30.75">
      <c r="A18" s="11">
        <v>10</v>
      </c>
      <c r="B18" s="13" t="s">
        <v>61</v>
      </c>
      <c r="C18" s="13">
        <v>0</v>
      </c>
      <c r="D18" s="20"/>
      <c r="E18" s="20"/>
      <c r="F18" s="20"/>
      <c r="G18" s="20">
        <f>SUM(C18:F18)</f>
        <v>0</v>
      </c>
      <c r="H18" s="234">
        <f>SUM(G18:G26)/9</f>
        <v>1.6666666666666667</v>
      </c>
      <c r="I18" s="234" t="str">
        <f>IF(SUM(G18:G26)/9&lt;=1.44,"Relaxed/Apathy","Hyperactivity/Impulsive")</f>
        <v>Hyperactivity/Impulsive</v>
      </c>
    </row>
    <row r="19" spans="1:9" ht="50.25" customHeight="1">
      <c r="A19" s="11">
        <v>11</v>
      </c>
      <c r="B19" s="13" t="s">
        <v>62</v>
      </c>
      <c r="C19" s="13">
        <v>0</v>
      </c>
      <c r="D19" s="20"/>
      <c r="E19" s="20"/>
      <c r="F19" s="20"/>
      <c r="G19" s="20">
        <f t="shared" ref="G19:G26" si="1">SUM(C19:F19)</f>
        <v>0</v>
      </c>
      <c r="H19" s="235"/>
      <c r="I19" s="235"/>
    </row>
    <row r="20" spans="1:9" ht="31.5" customHeight="1">
      <c r="A20" s="11">
        <v>12</v>
      </c>
      <c r="B20" s="13" t="s">
        <v>63</v>
      </c>
      <c r="C20" s="13"/>
      <c r="D20" s="20">
        <v>1</v>
      </c>
      <c r="E20" s="20"/>
      <c r="F20" s="20"/>
      <c r="G20" s="20">
        <f t="shared" si="1"/>
        <v>1</v>
      </c>
      <c r="H20" s="235"/>
      <c r="I20" s="235"/>
    </row>
    <row r="21" spans="1:9" ht="36" customHeight="1">
      <c r="A21" s="11">
        <v>13</v>
      </c>
      <c r="B21" s="13" t="s">
        <v>64</v>
      </c>
      <c r="C21" s="13"/>
      <c r="D21" s="20">
        <v>1</v>
      </c>
      <c r="E21" s="20"/>
      <c r="F21" s="20"/>
      <c r="G21" s="20">
        <f t="shared" si="1"/>
        <v>1</v>
      </c>
      <c r="H21" s="235"/>
      <c r="I21" s="235"/>
    </row>
    <row r="22" spans="1:9" ht="34.5" customHeight="1">
      <c r="A22" s="11">
        <v>14</v>
      </c>
      <c r="B22" s="13" t="s">
        <v>65</v>
      </c>
      <c r="C22" s="13"/>
      <c r="D22" s="20"/>
      <c r="E22" s="20">
        <v>2</v>
      </c>
      <c r="F22" s="20"/>
      <c r="G22" s="20">
        <f t="shared" si="1"/>
        <v>2</v>
      </c>
      <c r="H22" s="235"/>
      <c r="I22" s="235"/>
    </row>
    <row r="23" spans="1:9">
      <c r="A23" s="11">
        <v>15</v>
      </c>
      <c r="B23" s="13" t="s">
        <v>66</v>
      </c>
      <c r="C23" s="13"/>
      <c r="D23" s="13"/>
      <c r="E23" s="20">
        <v>2</v>
      </c>
      <c r="F23" s="20"/>
      <c r="G23" s="20">
        <f t="shared" si="1"/>
        <v>2</v>
      </c>
      <c r="H23" s="235"/>
      <c r="I23" s="235"/>
    </row>
    <row r="24" spans="1:9" ht="29.25" customHeight="1">
      <c r="A24" s="11">
        <v>16</v>
      </c>
      <c r="B24" s="13" t="s">
        <v>67</v>
      </c>
      <c r="C24" s="13"/>
      <c r="D24" s="20"/>
      <c r="E24" s="20"/>
      <c r="F24" s="20">
        <v>3</v>
      </c>
      <c r="G24" s="20">
        <f t="shared" si="1"/>
        <v>3</v>
      </c>
      <c r="H24" s="235"/>
      <c r="I24" s="235"/>
    </row>
    <row r="25" spans="1:9" ht="20.25" customHeight="1">
      <c r="A25" s="11">
        <v>17</v>
      </c>
      <c r="B25" s="13" t="s">
        <v>68</v>
      </c>
      <c r="C25" s="13"/>
      <c r="D25" s="13"/>
      <c r="E25" s="20"/>
      <c r="F25" s="20">
        <v>3</v>
      </c>
      <c r="G25" s="20">
        <f t="shared" si="1"/>
        <v>3</v>
      </c>
      <c r="H25" s="235"/>
      <c r="I25" s="235"/>
    </row>
    <row r="26" spans="1:9" ht="30.75">
      <c r="A26" s="11">
        <v>18</v>
      </c>
      <c r="B26" s="13" t="s">
        <v>69</v>
      </c>
      <c r="C26" s="13"/>
      <c r="D26" s="20"/>
      <c r="E26" s="20"/>
      <c r="F26" s="20">
        <v>3</v>
      </c>
      <c r="G26" s="20">
        <f t="shared" si="1"/>
        <v>3</v>
      </c>
      <c r="H26" s="236"/>
      <c r="I26" s="236"/>
    </row>
    <row r="27" spans="1:9">
      <c r="A27" s="245" t="s">
        <v>70</v>
      </c>
      <c r="B27" s="246"/>
      <c r="C27" s="246"/>
      <c r="D27" s="246"/>
      <c r="E27" s="246"/>
      <c r="F27" s="246"/>
      <c r="G27" s="246"/>
      <c r="H27" s="246"/>
      <c r="I27" s="247"/>
    </row>
    <row r="28" spans="1:9">
      <c r="A28" s="15">
        <v>19</v>
      </c>
      <c r="B28" s="17" t="s">
        <v>71</v>
      </c>
      <c r="C28" s="17">
        <v>0</v>
      </c>
      <c r="D28" s="17"/>
      <c r="E28" s="21"/>
      <c r="F28" s="21"/>
      <c r="G28" s="21">
        <f>SUM(C28:F28)</f>
        <v>0</v>
      </c>
      <c r="H28" s="241">
        <f>SUM(G28:G35)/8</f>
        <v>1.5</v>
      </c>
      <c r="I28" s="241" t="str">
        <f>IF(SUM(G28:G35)/8&lt;=1.88,"Conduct Disorder","Opositional Deficient")</f>
        <v>Conduct Disorder</v>
      </c>
    </row>
    <row r="29" spans="1:9">
      <c r="A29" s="15">
        <v>20</v>
      </c>
      <c r="B29" s="17" t="s">
        <v>72</v>
      </c>
      <c r="C29" s="17">
        <v>0</v>
      </c>
      <c r="D29" s="17"/>
      <c r="E29" s="21"/>
      <c r="F29" s="21"/>
      <c r="G29" s="21">
        <f t="shared" ref="G29:G35" si="2">SUM(C29:F29)</f>
        <v>0</v>
      </c>
      <c r="H29" s="242"/>
      <c r="I29" s="242"/>
    </row>
    <row r="30" spans="1:9" ht="31.5" customHeight="1">
      <c r="A30" s="15">
        <v>21</v>
      </c>
      <c r="B30" s="17" t="s">
        <v>73</v>
      </c>
      <c r="C30" s="17"/>
      <c r="D30" s="21">
        <v>1</v>
      </c>
      <c r="E30" s="21"/>
      <c r="F30" s="21"/>
      <c r="G30" s="21">
        <f t="shared" si="2"/>
        <v>1</v>
      </c>
      <c r="H30" s="242"/>
      <c r="I30" s="242"/>
    </row>
    <row r="31" spans="1:9" ht="30.75" customHeight="1">
      <c r="A31" s="15">
        <v>22</v>
      </c>
      <c r="B31" s="17" t="s">
        <v>74</v>
      </c>
      <c r="C31" s="17"/>
      <c r="D31" s="21">
        <v>1</v>
      </c>
      <c r="E31" s="21"/>
      <c r="F31" s="21"/>
      <c r="G31" s="21">
        <f t="shared" si="2"/>
        <v>1</v>
      </c>
      <c r="H31" s="242"/>
      <c r="I31" s="242"/>
    </row>
    <row r="32" spans="1:9" ht="33" customHeight="1">
      <c r="A32" s="15">
        <v>23</v>
      </c>
      <c r="B32" s="17" t="s">
        <v>75</v>
      </c>
      <c r="C32" s="17"/>
      <c r="D32" s="21"/>
      <c r="E32" s="21">
        <v>2</v>
      </c>
      <c r="F32" s="21"/>
      <c r="G32" s="21">
        <f t="shared" si="2"/>
        <v>2</v>
      </c>
      <c r="H32" s="242"/>
      <c r="I32" s="242"/>
    </row>
    <row r="33" spans="1:9">
      <c r="A33" s="15">
        <v>24</v>
      </c>
      <c r="B33" s="17" t="s">
        <v>76</v>
      </c>
      <c r="C33" s="17"/>
      <c r="D33" s="17"/>
      <c r="E33" s="21">
        <v>2</v>
      </c>
      <c r="F33" s="21"/>
      <c r="G33" s="21">
        <f t="shared" si="2"/>
        <v>2</v>
      </c>
      <c r="H33" s="242"/>
      <c r="I33" s="242"/>
    </row>
    <row r="34" spans="1:9">
      <c r="A34" s="15">
        <v>25</v>
      </c>
      <c r="B34" s="17" t="s">
        <v>77</v>
      </c>
      <c r="C34" s="17"/>
      <c r="D34" s="17"/>
      <c r="E34" s="21"/>
      <c r="F34" s="21">
        <v>3</v>
      </c>
      <c r="G34" s="21">
        <f t="shared" si="2"/>
        <v>3</v>
      </c>
      <c r="H34" s="242"/>
      <c r="I34" s="242"/>
    </row>
    <row r="35" spans="1:9" ht="18" customHeight="1">
      <c r="A35" s="15">
        <v>26</v>
      </c>
      <c r="B35" s="17" t="s">
        <v>78</v>
      </c>
      <c r="C35" s="17"/>
      <c r="D35" s="17"/>
      <c r="E35" s="21"/>
      <c r="F35" s="21">
        <v>3</v>
      </c>
      <c r="G35" s="21">
        <f t="shared" si="2"/>
        <v>3</v>
      </c>
      <c r="H35" s="243"/>
      <c r="I35" s="243"/>
    </row>
  </sheetData>
  <mergeCells count="10">
    <mergeCell ref="H28:H35"/>
    <mergeCell ref="I28:I35"/>
    <mergeCell ref="A1:I1"/>
    <mergeCell ref="A7:I7"/>
    <mergeCell ref="A17:I17"/>
    <mergeCell ref="A27:I27"/>
    <mergeCell ref="H8:H16"/>
    <mergeCell ref="I8:I16"/>
    <mergeCell ref="H18:H26"/>
    <mergeCell ref="I18:I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380-6CA9-43F3-8EE1-60DB425EA423}">
  <sheetPr codeName="Sheet3"/>
  <dimension ref="A1:I17"/>
  <sheetViews>
    <sheetView workbookViewId="0">
      <selection activeCell="G5" sqref="G5:G17"/>
    </sheetView>
  </sheetViews>
  <sheetFormatPr defaultRowHeight="15"/>
  <cols>
    <col min="2" max="2" width="31.42578125" customWidth="1"/>
    <col min="5" max="5" width="18" customWidth="1"/>
    <col min="6" max="6" width="19" customWidth="1"/>
    <col min="7" max="7" width="14.42578125" customWidth="1"/>
    <col min="9" max="9" width="28.7109375" customWidth="1"/>
  </cols>
  <sheetData>
    <row r="1" spans="1:9">
      <c r="A1" s="217" t="s">
        <v>79</v>
      </c>
      <c r="B1" s="217"/>
      <c r="C1" s="217"/>
      <c r="D1" s="217"/>
      <c r="E1" s="217"/>
      <c r="F1" s="217"/>
      <c r="G1" s="217"/>
      <c r="H1" s="217"/>
      <c r="I1" s="217"/>
    </row>
    <row r="2" spans="1:9">
      <c r="A2">
        <v>1</v>
      </c>
      <c r="B2" t="str">
        <f>IF(SUM(G5:G17)&gt;12,"Likely Depressed","Does not Indicate Depression")</f>
        <v>Does not Indicate Depression</v>
      </c>
    </row>
    <row r="4" spans="1:9">
      <c r="A4" s="26" t="s">
        <v>80</v>
      </c>
      <c r="B4" s="27" t="s">
        <v>81</v>
      </c>
      <c r="C4" s="27"/>
      <c r="D4" s="26" t="s">
        <v>82</v>
      </c>
      <c r="E4" s="26" t="s">
        <v>83</v>
      </c>
      <c r="F4" s="26" t="s">
        <v>84</v>
      </c>
      <c r="G4" s="26" t="s">
        <v>7</v>
      </c>
      <c r="H4" s="26" t="s">
        <v>85</v>
      </c>
      <c r="I4" s="26" t="s">
        <v>49</v>
      </c>
    </row>
    <row r="5" spans="1:9">
      <c r="A5" s="2">
        <v>1</v>
      </c>
      <c r="B5" s="3" t="s">
        <v>86</v>
      </c>
      <c r="C5" s="3"/>
      <c r="D5" s="2"/>
      <c r="E5" s="2"/>
      <c r="F5" s="2"/>
      <c r="G5" s="2"/>
      <c r="H5" s="251">
        <f>SUM(G5:G17)</f>
        <v>0</v>
      </c>
      <c r="I5" s="251" t="str">
        <f>IF(SUM(G5:G17)&gt;12,"Likely Depressed","Does not Indicate Depression")</f>
        <v>Does not Indicate Depression</v>
      </c>
    </row>
    <row r="6" spans="1:9">
      <c r="A6" s="2">
        <v>2</v>
      </c>
      <c r="B6" s="3" t="s">
        <v>87</v>
      </c>
      <c r="C6" s="3"/>
      <c r="D6" s="2"/>
      <c r="E6" s="2"/>
      <c r="F6" s="2"/>
      <c r="G6" s="2"/>
      <c r="H6" s="251"/>
      <c r="I6" s="251"/>
    </row>
    <row r="7" spans="1:9" ht="30">
      <c r="A7" s="2">
        <v>3</v>
      </c>
      <c r="B7" s="3" t="s">
        <v>88</v>
      </c>
      <c r="C7" s="3"/>
      <c r="D7" s="2"/>
      <c r="E7" s="2"/>
      <c r="F7" s="2"/>
      <c r="G7" s="2"/>
      <c r="H7" s="251"/>
      <c r="I7" s="251"/>
    </row>
    <row r="8" spans="1:9">
      <c r="A8" s="2">
        <v>4</v>
      </c>
      <c r="B8" s="3" t="s">
        <v>89</v>
      </c>
      <c r="C8" s="3"/>
      <c r="D8" s="2"/>
      <c r="E8" s="2"/>
      <c r="F8" s="2"/>
      <c r="G8" s="2"/>
      <c r="H8" s="251"/>
      <c r="I8" s="251"/>
    </row>
    <row r="9" spans="1:9" ht="30">
      <c r="A9" s="2">
        <v>5</v>
      </c>
      <c r="B9" s="3" t="s">
        <v>90</v>
      </c>
      <c r="C9" s="3"/>
      <c r="D9" s="2"/>
      <c r="E9" s="2"/>
      <c r="F9" s="2"/>
      <c r="G9" s="2"/>
      <c r="H9" s="251"/>
      <c r="I9" s="251"/>
    </row>
    <row r="10" spans="1:9">
      <c r="A10" s="2">
        <v>6</v>
      </c>
      <c r="B10" s="3" t="s">
        <v>91</v>
      </c>
      <c r="C10" s="3"/>
      <c r="D10" s="2"/>
      <c r="E10" s="2"/>
      <c r="F10" s="2"/>
      <c r="G10" s="2"/>
      <c r="H10" s="251"/>
      <c r="I10" s="251"/>
    </row>
    <row r="11" spans="1:9" ht="30">
      <c r="A11" s="2">
        <v>7</v>
      </c>
      <c r="B11" s="3" t="s">
        <v>92</v>
      </c>
      <c r="C11" s="3"/>
      <c r="D11" s="2"/>
      <c r="E11" s="2"/>
      <c r="F11" s="2"/>
      <c r="G11" s="2"/>
      <c r="H11" s="251"/>
      <c r="I11" s="251"/>
    </row>
    <row r="12" spans="1:9">
      <c r="A12" s="2">
        <v>8</v>
      </c>
      <c r="B12" s="3" t="s">
        <v>93</v>
      </c>
      <c r="C12" s="3"/>
      <c r="D12" s="2"/>
      <c r="E12" s="2"/>
      <c r="F12" s="2"/>
      <c r="G12" s="2"/>
      <c r="H12" s="251"/>
      <c r="I12" s="251"/>
    </row>
    <row r="13" spans="1:9">
      <c r="A13" s="2">
        <v>9</v>
      </c>
      <c r="B13" s="3" t="s">
        <v>94</v>
      </c>
      <c r="C13" s="3"/>
      <c r="D13" s="2"/>
      <c r="E13" s="2"/>
      <c r="F13" s="2"/>
      <c r="G13" s="2"/>
      <c r="H13" s="251"/>
      <c r="I13" s="251"/>
    </row>
    <row r="14" spans="1:9">
      <c r="A14" s="2">
        <v>10</v>
      </c>
      <c r="B14" s="3" t="s">
        <v>95</v>
      </c>
      <c r="C14" s="3"/>
      <c r="D14" s="2"/>
      <c r="E14" s="2"/>
      <c r="F14" s="2"/>
      <c r="G14" s="2"/>
      <c r="H14" s="251"/>
      <c r="I14" s="251"/>
    </row>
    <row r="15" spans="1:9" ht="30">
      <c r="A15" s="2">
        <v>11</v>
      </c>
      <c r="B15" s="3" t="s">
        <v>96</v>
      </c>
      <c r="C15" s="3"/>
      <c r="D15" s="2"/>
      <c r="E15" s="2"/>
      <c r="F15" s="2"/>
      <c r="G15" s="2"/>
      <c r="H15" s="251"/>
      <c r="I15" s="251"/>
    </row>
    <row r="16" spans="1:9" ht="30">
      <c r="A16" s="2">
        <v>12</v>
      </c>
      <c r="B16" s="3" t="s">
        <v>97</v>
      </c>
      <c r="C16" s="3"/>
      <c r="D16" s="2"/>
      <c r="E16" s="2"/>
      <c r="F16" s="2"/>
      <c r="G16" s="2"/>
      <c r="H16" s="251"/>
      <c r="I16" s="251"/>
    </row>
    <row r="17" spans="1:9" ht="30">
      <c r="A17" s="2">
        <v>13</v>
      </c>
      <c r="B17" s="3" t="s">
        <v>98</v>
      </c>
      <c r="C17" s="3"/>
      <c r="D17" s="2"/>
      <c r="E17" s="2"/>
      <c r="F17" s="2"/>
      <c r="G17" s="2"/>
      <c r="H17" s="251"/>
      <c r="I17" s="251"/>
    </row>
  </sheetData>
  <mergeCells count="3">
    <mergeCell ref="H5:H17"/>
    <mergeCell ref="I5:I17"/>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4EDD2-8F60-4D96-9779-9DCFFDA40072}">
  <sheetPr codeName="Sheet4"/>
  <dimension ref="A4:D136"/>
  <sheetViews>
    <sheetView workbookViewId="0">
      <selection activeCell="E7" sqref="E7"/>
    </sheetView>
  </sheetViews>
  <sheetFormatPr defaultRowHeight="15"/>
  <cols>
    <col min="1" max="1" width="36.140625" customWidth="1"/>
    <col min="2" max="2" width="14.140625" customWidth="1"/>
    <col min="3" max="3" width="15.42578125" customWidth="1"/>
    <col min="4" max="4" width="15.85546875" customWidth="1"/>
  </cols>
  <sheetData>
    <row r="4" spans="1:4">
      <c r="B4" s="28" t="s">
        <v>99</v>
      </c>
      <c r="C4" s="28" t="s">
        <v>100</v>
      </c>
      <c r="D4" s="28" t="s">
        <v>101</v>
      </c>
    </row>
    <row r="5" spans="1:4" ht="60" customHeight="1">
      <c r="A5" s="28" t="s">
        <v>102</v>
      </c>
      <c r="B5" s="28"/>
    </row>
    <row r="6" spans="1:4" ht="60" customHeight="1">
      <c r="A6" s="28" t="s">
        <v>103</v>
      </c>
      <c r="B6" s="28"/>
    </row>
    <row r="7" spans="1:4" ht="60" customHeight="1">
      <c r="A7" s="28" t="s">
        <v>104</v>
      </c>
      <c r="B7" s="28"/>
    </row>
    <row r="8" spans="1:4" ht="75" customHeight="1">
      <c r="A8" s="28" t="s">
        <v>105</v>
      </c>
      <c r="B8" s="28"/>
    </row>
    <row r="9" spans="1:4" ht="75" customHeight="1">
      <c r="A9" s="28" t="s">
        <v>106</v>
      </c>
      <c r="B9" s="28"/>
    </row>
    <row r="10" spans="1:4" ht="15" customHeight="1">
      <c r="A10" s="28" t="s">
        <v>107</v>
      </c>
      <c r="B10" s="28"/>
    </row>
    <row r="11" spans="1:4" ht="105" customHeight="1">
      <c r="A11" s="28" t="s">
        <v>108</v>
      </c>
      <c r="B11" s="28"/>
    </row>
    <row r="12" spans="1:4" ht="15" customHeight="1">
      <c r="A12" s="28" t="s">
        <v>109</v>
      </c>
      <c r="B12" s="28"/>
    </row>
    <row r="13" spans="1:4" ht="60" customHeight="1">
      <c r="A13" s="28" t="s">
        <v>110</v>
      </c>
      <c r="B13" s="28"/>
    </row>
    <row r="14" spans="1:4" ht="75" customHeight="1">
      <c r="A14" s="28" t="s">
        <v>111</v>
      </c>
      <c r="B14" s="28"/>
    </row>
    <row r="15" spans="1:4" ht="45" customHeight="1">
      <c r="A15" s="28" t="s">
        <v>112</v>
      </c>
      <c r="B15" s="28"/>
    </row>
    <row r="16" spans="1:4" ht="90" customHeight="1">
      <c r="A16" s="28" t="s">
        <v>113</v>
      </c>
      <c r="B16" s="28"/>
    </row>
    <row r="17" spans="1:2" ht="60" customHeight="1">
      <c r="A17" s="252" t="s">
        <v>114</v>
      </c>
      <c r="B17" s="252"/>
    </row>
    <row r="18" spans="1:2">
      <c r="A18" s="252"/>
      <c r="B18" s="252"/>
    </row>
    <row r="19" spans="1:2">
      <c r="A19" s="28"/>
    </row>
    <row r="20" spans="1:2">
      <c r="A20" s="252" t="s">
        <v>115</v>
      </c>
      <c r="B20" s="28"/>
    </row>
    <row r="21" spans="1:2">
      <c r="A21" s="252"/>
      <c r="B21" s="28"/>
    </row>
    <row r="22" spans="1:2">
      <c r="A22" s="252"/>
      <c r="B22" s="28"/>
    </row>
    <row r="23" spans="1:2">
      <c r="A23" s="252"/>
      <c r="B23" s="28"/>
    </row>
    <row r="24" spans="1:2" ht="75" customHeight="1">
      <c r="A24" s="252" t="s">
        <v>116</v>
      </c>
      <c r="B24" s="252"/>
    </row>
    <row r="25" spans="1:2">
      <c r="A25" s="252"/>
      <c r="B25" s="252"/>
    </row>
    <row r="26" spans="1:2">
      <c r="A26" s="28"/>
    </row>
    <row r="27" spans="1:2" ht="105" customHeight="1">
      <c r="A27" s="252" t="s">
        <v>117</v>
      </c>
      <c r="B27" s="252"/>
    </row>
    <row r="28" spans="1:2">
      <c r="A28" s="252"/>
      <c r="B28" s="252"/>
    </row>
    <row r="29" spans="1:2">
      <c r="A29" s="252" t="s">
        <v>118</v>
      </c>
      <c r="B29" s="28"/>
    </row>
    <row r="30" spans="1:2">
      <c r="A30" s="252"/>
      <c r="B30" s="28"/>
    </row>
    <row r="31" spans="1:2">
      <c r="A31" s="252"/>
      <c r="B31" s="28"/>
    </row>
    <row r="32" spans="1:2">
      <c r="A32" s="252"/>
      <c r="B32" s="28"/>
    </row>
    <row r="33" spans="1:2" ht="60" customHeight="1">
      <c r="A33" s="252" t="s">
        <v>119</v>
      </c>
      <c r="B33" s="252"/>
    </row>
    <row r="34" spans="1:2">
      <c r="A34" s="252"/>
      <c r="B34" s="252"/>
    </row>
    <row r="35" spans="1:2" ht="15" customHeight="1">
      <c r="A35" s="252" t="s">
        <v>120</v>
      </c>
      <c r="B35" s="28"/>
    </row>
    <row r="36" spans="1:2">
      <c r="A36" s="252"/>
      <c r="B36" s="28"/>
    </row>
    <row r="37" spans="1:2">
      <c r="A37" s="252"/>
      <c r="B37" s="28"/>
    </row>
    <row r="38" spans="1:2">
      <c r="A38" s="252"/>
      <c r="B38" s="28"/>
    </row>
    <row r="39" spans="1:2" ht="105" customHeight="1">
      <c r="A39" s="252" t="s">
        <v>121</v>
      </c>
      <c r="B39" s="252"/>
    </row>
    <row r="40" spans="1:2">
      <c r="A40" s="252"/>
      <c r="B40" s="252"/>
    </row>
    <row r="41" spans="1:2">
      <c r="A41" s="28"/>
    </row>
    <row r="42" spans="1:2" ht="30" customHeight="1">
      <c r="A42" s="252" t="s">
        <v>122</v>
      </c>
      <c r="B42" s="28"/>
    </row>
    <row r="43" spans="1:2">
      <c r="A43" s="252"/>
      <c r="B43" s="28"/>
    </row>
    <row r="44" spans="1:2">
      <c r="A44" s="252"/>
      <c r="B44" s="28"/>
    </row>
    <row r="45" spans="1:2">
      <c r="A45" s="252"/>
      <c r="B45" s="28"/>
    </row>
    <row r="46" spans="1:2">
      <c r="A46" s="252" t="s">
        <v>123</v>
      </c>
      <c r="B46" s="28"/>
    </row>
    <row r="47" spans="1:2">
      <c r="A47" s="252"/>
      <c r="B47" s="28"/>
    </row>
    <row r="48" spans="1:2">
      <c r="A48" s="252"/>
      <c r="B48" s="28"/>
    </row>
    <row r="49" spans="1:2">
      <c r="A49" s="252"/>
      <c r="B49" s="28"/>
    </row>
    <row r="50" spans="1:2" ht="45" customHeight="1">
      <c r="A50" s="252" t="s">
        <v>124</v>
      </c>
      <c r="B50" s="28"/>
    </row>
    <row r="51" spans="1:2">
      <c r="A51" s="252"/>
      <c r="B51" s="28"/>
    </row>
    <row r="52" spans="1:2">
      <c r="A52" s="252"/>
      <c r="B52" s="28"/>
    </row>
    <row r="53" spans="1:2">
      <c r="A53" s="252"/>
      <c r="B53" s="28"/>
    </row>
    <row r="54" spans="1:2" ht="45" customHeight="1">
      <c r="A54" s="252" t="s">
        <v>125</v>
      </c>
      <c r="B54" s="252"/>
    </row>
    <row r="55" spans="1:2">
      <c r="A55" s="252"/>
      <c r="B55" s="252"/>
    </row>
    <row r="56" spans="1:2">
      <c r="A56" s="28"/>
    </row>
    <row r="57" spans="1:2" ht="105" customHeight="1">
      <c r="A57" s="252" t="s">
        <v>126</v>
      </c>
      <c r="B57" s="252"/>
    </row>
    <row r="58" spans="1:2">
      <c r="A58" s="252"/>
      <c r="B58" s="252"/>
    </row>
    <row r="59" spans="1:2" ht="315" customHeight="1">
      <c r="A59" s="252" t="s">
        <v>127</v>
      </c>
      <c r="B59" s="252"/>
    </row>
    <row r="60" spans="1:2">
      <c r="A60" s="252"/>
      <c r="B60" s="252"/>
    </row>
    <row r="61" spans="1:2">
      <c r="A61" s="28" t="s">
        <v>128</v>
      </c>
    </row>
    <row r="62" spans="1:2">
      <c r="A62" s="28"/>
    </row>
    <row r="63" spans="1:2">
      <c r="A63" s="28" t="s">
        <v>129</v>
      </c>
    </row>
    <row r="64" spans="1:2">
      <c r="A64" s="28"/>
    </row>
    <row r="65" spans="1:2">
      <c r="A65" s="28" t="s">
        <v>130</v>
      </c>
    </row>
    <row r="66" spans="1:2">
      <c r="A66" s="28"/>
    </row>
    <row r="67" spans="1:2" ht="75" customHeight="1">
      <c r="A67" s="252" t="s">
        <v>131</v>
      </c>
      <c r="B67" s="252"/>
    </row>
    <row r="68" spans="1:2">
      <c r="A68" s="252"/>
      <c r="B68" s="252"/>
    </row>
    <row r="69" spans="1:2">
      <c r="A69" s="28" t="s">
        <v>132</v>
      </c>
    </row>
    <row r="70" spans="1:2">
      <c r="A70" s="28"/>
    </row>
    <row r="71" spans="1:2">
      <c r="A71" s="28" t="s">
        <v>133</v>
      </c>
    </row>
    <row r="72" spans="1:2">
      <c r="A72" s="28"/>
    </row>
    <row r="73" spans="1:2">
      <c r="A73" s="28" t="s">
        <v>134</v>
      </c>
    </row>
    <row r="74" spans="1:2">
      <c r="A74" s="28"/>
    </row>
    <row r="75" spans="1:2">
      <c r="A75" s="28" t="s">
        <v>135</v>
      </c>
    </row>
    <row r="76" spans="1:2">
      <c r="A76" s="28"/>
    </row>
    <row r="77" spans="1:2" ht="90" customHeight="1">
      <c r="A77" s="252" t="s">
        <v>136</v>
      </c>
      <c r="B77" s="252"/>
    </row>
    <row r="78" spans="1:2">
      <c r="A78" s="252"/>
      <c r="B78" s="252"/>
    </row>
    <row r="79" spans="1:2">
      <c r="A79" s="28" t="s">
        <v>137</v>
      </c>
    </row>
    <row r="80" spans="1:2">
      <c r="A80" s="28"/>
    </row>
    <row r="81" spans="1:2">
      <c r="A81" s="28" t="s">
        <v>138</v>
      </c>
    </row>
    <row r="82" spans="1:2">
      <c r="A82" s="28"/>
    </row>
    <row r="83" spans="1:2">
      <c r="A83" s="28" t="s">
        <v>139</v>
      </c>
    </row>
    <row r="84" spans="1:2">
      <c r="A84" s="28"/>
    </row>
    <row r="85" spans="1:2">
      <c r="A85" s="28" t="s">
        <v>140</v>
      </c>
    </row>
    <row r="86" spans="1:2">
      <c r="A86" s="28"/>
    </row>
    <row r="87" spans="1:2" ht="150" customHeight="1">
      <c r="A87" s="252" t="s">
        <v>141</v>
      </c>
      <c r="B87" s="252" t="s">
        <v>142</v>
      </c>
    </row>
    <row r="88" spans="1:2">
      <c r="A88" s="252"/>
      <c r="B88" s="252"/>
    </row>
    <row r="90" spans="1:2">
      <c r="A90" t="s">
        <v>137</v>
      </c>
    </row>
    <row r="92" spans="1:2">
      <c r="A92" t="s">
        <v>138</v>
      </c>
    </row>
    <row r="94" spans="1:2">
      <c r="A94" t="s">
        <v>139</v>
      </c>
    </row>
    <row r="96" spans="1:2">
      <c r="A96" t="s">
        <v>140</v>
      </c>
    </row>
    <row r="98" spans="1:1">
      <c r="A98" t="s">
        <v>143</v>
      </c>
    </row>
    <row r="100" spans="1:1">
      <c r="A100" t="s">
        <v>137</v>
      </c>
    </row>
    <row r="102" spans="1:1">
      <c r="A102" t="s">
        <v>138</v>
      </c>
    </row>
    <row r="104" spans="1:1">
      <c r="A104" t="s">
        <v>139</v>
      </c>
    </row>
    <row r="106" spans="1:1">
      <c r="A106" t="s">
        <v>140</v>
      </c>
    </row>
    <row r="108" spans="1:1">
      <c r="A108" t="s">
        <v>144</v>
      </c>
    </row>
    <row r="110" spans="1:1">
      <c r="A110" t="s">
        <v>137</v>
      </c>
    </row>
    <row r="112" spans="1:1">
      <c r="A112" t="s">
        <v>138</v>
      </c>
    </row>
    <row r="114" spans="1:2">
      <c r="A114" t="s">
        <v>139</v>
      </c>
    </row>
    <row r="116" spans="1:2">
      <c r="A116" t="s">
        <v>140</v>
      </c>
    </row>
    <row r="118" spans="1:2">
      <c r="A118" t="s">
        <v>145</v>
      </c>
    </row>
    <row r="120" spans="1:2">
      <c r="A120" t="s">
        <v>137</v>
      </c>
    </row>
    <row r="122" spans="1:2">
      <c r="A122" t="s">
        <v>138</v>
      </c>
    </row>
    <row r="124" spans="1:2">
      <c r="A124" s="28" t="s">
        <v>139</v>
      </c>
    </row>
    <row r="125" spans="1:2">
      <c r="A125" s="28"/>
    </row>
    <row r="126" spans="1:2">
      <c r="A126" s="28" t="s">
        <v>140</v>
      </c>
    </row>
    <row r="127" spans="1:2">
      <c r="A127" s="28"/>
    </row>
    <row r="128" spans="1:2" ht="15" customHeight="1">
      <c r="A128" s="252" t="s">
        <v>146</v>
      </c>
      <c r="B128" s="28" t="s">
        <v>137</v>
      </c>
    </row>
    <row r="129" spans="1:2">
      <c r="A129" s="252"/>
      <c r="B129" s="28"/>
    </row>
    <row r="130" spans="1:2">
      <c r="A130" s="252"/>
      <c r="B130" s="28" t="s">
        <v>138</v>
      </c>
    </row>
    <row r="131" spans="1:2">
      <c r="A131" s="252"/>
      <c r="B131" s="28"/>
    </row>
    <row r="132" spans="1:2">
      <c r="A132" s="252"/>
      <c r="B132" s="28" t="s">
        <v>139</v>
      </c>
    </row>
    <row r="133" spans="1:2">
      <c r="A133" s="252"/>
      <c r="B133" s="28"/>
    </row>
    <row r="134" spans="1:2" ht="15" customHeight="1">
      <c r="A134" s="252" t="s">
        <v>140</v>
      </c>
    </row>
    <row r="135" spans="1:2">
      <c r="A135" s="252"/>
    </row>
    <row r="136" spans="1:2">
      <c r="A136" s="28" t="s">
        <v>147</v>
      </c>
    </row>
  </sheetData>
  <mergeCells count="30">
    <mergeCell ref="A134:A135"/>
    <mergeCell ref="A57:A58"/>
    <mergeCell ref="B57:B58"/>
    <mergeCell ref="A59:A60"/>
    <mergeCell ref="B59:B60"/>
    <mergeCell ref="A67:A68"/>
    <mergeCell ref="B67:B68"/>
    <mergeCell ref="A77:A78"/>
    <mergeCell ref="B77:B78"/>
    <mergeCell ref="A87:A88"/>
    <mergeCell ref="B87:B88"/>
    <mergeCell ref="A128:A133"/>
    <mergeCell ref="A46:A49"/>
    <mergeCell ref="A50:A53"/>
    <mergeCell ref="A54:A55"/>
    <mergeCell ref="B54:B55"/>
    <mergeCell ref="A35:A38"/>
    <mergeCell ref="A39:A40"/>
    <mergeCell ref="B39:B40"/>
    <mergeCell ref="A42:A45"/>
    <mergeCell ref="A27:A28"/>
    <mergeCell ref="B27:B28"/>
    <mergeCell ref="A29:A32"/>
    <mergeCell ref="A33:A34"/>
    <mergeCell ref="B33:B34"/>
    <mergeCell ref="A17:A18"/>
    <mergeCell ref="B17:B18"/>
    <mergeCell ref="A20:A23"/>
    <mergeCell ref="A24:A25"/>
    <mergeCell ref="B24:B2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D5CAC-F76F-42C1-B08D-CE4F6313088B}">
  <sheetPr codeName="Sheet6"/>
  <dimension ref="A1:Q36"/>
  <sheetViews>
    <sheetView topLeftCell="G16" workbookViewId="0">
      <selection activeCell="G9" sqref="G9"/>
    </sheetView>
  </sheetViews>
  <sheetFormatPr defaultRowHeight="15"/>
  <cols>
    <col min="1" max="1" width="5.85546875" bestFit="1" customWidth="1"/>
    <col min="2" max="2" width="28" bestFit="1" customWidth="1"/>
    <col min="3" max="3" width="11.42578125" bestFit="1" customWidth="1"/>
    <col min="4" max="4" width="13.42578125" bestFit="1" customWidth="1"/>
    <col min="5" max="5" width="14.28515625" bestFit="1" customWidth="1"/>
    <col min="6" max="6" width="12.85546875" bestFit="1" customWidth="1"/>
    <col min="7" max="9" width="10" bestFit="1" customWidth="1"/>
    <col min="10" max="10" width="10" customWidth="1"/>
    <col min="11" max="11" width="6.7109375" bestFit="1" customWidth="1"/>
    <col min="12" max="12" width="7.7109375" bestFit="1" customWidth="1"/>
    <col min="13" max="13" width="8" bestFit="1" customWidth="1"/>
    <col min="14" max="14" width="17.28515625" customWidth="1"/>
    <col min="15" max="15" width="5.42578125" bestFit="1" customWidth="1"/>
    <col min="16" max="16" width="12" bestFit="1" customWidth="1"/>
    <col min="17" max="17" width="28.140625" bestFit="1" customWidth="1"/>
  </cols>
  <sheetData>
    <row r="1" spans="1:17">
      <c r="A1" s="253" t="s">
        <v>0</v>
      </c>
      <c r="B1" s="253"/>
      <c r="C1" s="253"/>
      <c r="D1" s="253"/>
      <c r="E1" s="253"/>
      <c r="F1" s="253"/>
      <c r="G1" s="253"/>
      <c r="H1" s="253"/>
      <c r="I1" s="253"/>
      <c r="J1" s="253"/>
      <c r="K1" s="253"/>
      <c r="L1" s="253"/>
      <c r="M1" s="253"/>
      <c r="N1" s="253"/>
      <c r="O1" s="253"/>
      <c r="P1" s="253"/>
      <c r="Q1" s="253"/>
    </row>
    <row r="2" spans="1:17">
      <c r="A2" s="4">
        <v>1</v>
      </c>
      <c r="B2" s="4" t="str">
        <f>IF(AVERAGE(O9/3)&gt;6,"In-Attentions","Attentions")</f>
        <v>Attentions</v>
      </c>
    </row>
    <row r="3" spans="1:17">
      <c r="A3" s="4">
        <v>2</v>
      </c>
      <c r="B3" s="4" t="str">
        <f>IF(AVERAGE(O19/3)&gt;6,"Hyperactivity/Impulsive","Relaxed/Apathy")</f>
        <v>Relaxed/Apathy</v>
      </c>
    </row>
    <row r="4" spans="1:17">
      <c r="A4" s="4">
        <v>3</v>
      </c>
      <c r="B4" s="4" t="str">
        <f>IF(AVERAGE(O29/2)&gt;4,"Oppositional Defient Disorder","Conduct Disorder")</f>
        <v>Conduct Disorder</v>
      </c>
    </row>
    <row r="7" spans="1:17" ht="30">
      <c r="A7" s="6" t="s">
        <v>1</v>
      </c>
      <c r="B7" s="1" t="s">
        <v>2</v>
      </c>
      <c r="C7" s="1" t="s">
        <v>3</v>
      </c>
      <c r="D7" s="1" t="s">
        <v>4</v>
      </c>
      <c r="E7" s="1" t="s">
        <v>5</v>
      </c>
      <c r="F7" s="1" t="s">
        <v>6</v>
      </c>
      <c r="G7" s="1" t="s">
        <v>148</v>
      </c>
      <c r="H7" s="1" t="s">
        <v>149</v>
      </c>
      <c r="I7" s="1" t="s">
        <v>150</v>
      </c>
      <c r="J7" s="1" t="s">
        <v>151</v>
      </c>
      <c r="K7" s="1" t="s">
        <v>152</v>
      </c>
      <c r="L7" s="6" t="s">
        <v>153</v>
      </c>
      <c r="M7" s="6" t="s">
        <v>154</v>
      </c>
      <c r="N7" s="6" t="s">
        <v>151</v>
      </c>
      <c r="O7" s="6" t="s">
        <v>85</v>
      </c>
      <c r="P7" s="6" t="s">
        <v>155</v>
      </c>
      <c r="Q7" s="24" t="s">
        <v>49</v>
      </c>
    </row>
    <row r="8" spans="1:17">
      <c r="A8" s="224" t="s">
        <v>12</v>
      </c>
      <c r="B8" s="225"/>
      <c r="C8" s="225"/>
      <c r="D8" s="225"/>
      <c r="E8" s="225"/>
      <c r="F8" s="225"/>
      <c r="G8" s="225"/>
      <c r="H8" s="225"/>
      <c r="I8" s="225"/>
      <c r="J8" s="225"/>
      <c r="K8" s="225"/>
      <c r="L8" s="225"/>
      <c r="M8" s="225"/>
      <c r="N8" s="225"/>
      <c r="O8" s="225"/>
      <c r="P8" s="225"/>
      <c r="Q8" s="226"/>
    </row>
    <row r="9" spans="1:17" ht="30">
      <c r="A9" s="7">
        <v>1</v>
      </c>
      <c r="B9" s="8" t="s">
        <v>10</v>
      </c>
      <c r="C9" s="9"/>
      <c r="D9" s="9"/>
      <c r="E9" s="9"/>
      <c r="F9" s="10"/>
      <c r="G9" s="8">
        <v>1</v>
      </c>
      <c r="H9" s="8">
        <v>2</v>
      </c>
      <c r="I9" s="8">
        <v>0</v>
      </c>
      <c r="J9" s="9">
        <v>0</v>
      </c>
      <c r="K9" s="8">
        <f>IF(G9&gt;1,1,0)</f>
        <v>0</v>
      </c>
      <c r="L9" s="7">
        <f>IF(H9&gt;1,1,0)</f>
        <v>1</v>
      </c>
      <c r="M9" s="7">
        <f>IF(I9&gt;1,1,0)</f>
        <v>0</v>
      </c>
      <c r="N9" s="7">
        <f>IF(J9&gt;1,1,0)</f>
        <v>0</v>
      </c>
      <c r="O9" s="218">
        <f>SUM(K9:N17)</f>
        <v>9</v>
      </c>
      <c r="P9" s="218">
        <f>AVERAGE(O9/2)</f>
        <v>4.5</v>
      </c>
      <c r="Q9" s="218" t="str">
        <f>IF(AVERAGE(O9/2)&gt;6,"In-Attentions","Attentions")</f>
        <v>Attentions</v>
      </c>
    </row>
    <row r="10" spans="1:17" ht="30">
      <c r="A10" s="7">
        <v>2</v>
      </c>
      <c r="B10" s="8" t="s">
        <v>15</v>
      </c>
      <c r="C10" s="9"/>
      <c r="D10" s="9"/>
      <c r="E10" s="9"/>
      <c r="F10" s="9"/>
      <c r="G10" s="8">
        <v>1</v>
      </c>
      <c r="H10" s="8">
        <v>2</v>
      </c>
      <c r="I10" s="8">
        <v>0</v>
      </c>
      <c r="J10" s="9">
        <v>0</v>
      </c>
      <c r="K10" s="8">
        <f t="shared" ref="K10:K17" si="0">IF(G10&gt;1,1,0)</f>
        <v>0</v>
      </c>
      <c r="L10" s="7">
        <f t="shared" ref="L10:L17" si="1">IF(H10&gt;1,1,0)</f>
        <v>1</v>
      </c>
      <c r="M10" s="7">
        <f t="shared" ref="M10:M17" si="2">IF(I10&gt;1,1,0)</f>
        <v>0</v>
      </c>
      <c r="N10" s="7">
        <f t="shared" ref="N10:N17" si="3">IF(J10&gt;1,1,0)</f>
        <v>0</v>
      </c>
      <c r="O10" s="219"/>
      <c r="P10" s="219"/>
      <c r="Q10" s="219"/>
    </row>
    <row r="11" spans="1:17">
      <c r="A11" s="7">
        <v>3</v>
      </c>
      <c r="B11" s="8" t="s">
        <v>17</v>
      </c>
      <c r="C11" s="9"/>
      <c r="D11" s="9"/>
      <c r="E11" s="9"/>
      <c r="F11" s="10"/>
      <c r="G11" s="8">
        <v>1</v>
      </c>
      <c r="H11" s="8">
        <v>2</v>
      </c>
      <c r="I11" s="8">
        <v>0</v>
      </c>
      <c r="J11" s="9">
        <v>0</v>
      </c>
      <c r="K11" s="8">
        <f t="shared" si="0"/>
        <v>0</v>
      </c>
      <c r="L11" s="7">
        <f t="shared" si="1"/>
        <v>1</v>
      </c>
      <c r="M11" s="7">
        <f t="shared" si="2"/>
        <v>0</v>
      </c>
      <c r="N11" s="7">
        <f t="shared" si="3"/>
        <v>0</v>
      </c>
      <c r="O11" s="219"/>
      <c r="P11" s="219"/>
      <c r="Q11" s="219"/>
    </row>
    <row r="12" spans="1:17" ht="30">
      <c r="A12" s="7">
        <v>4</v>
      </c>
      <c r="B12" s="8" t="s">
        <v>14</v>
      </c>
      <c r="C12" s="9"/>
      <c r="D12" s="9"/>
      <c r="E12" s="9"/>
      <c r="F12" s="9"/>
      <c r="G12" s="8">
        <v>1</v>
      </c>
      <c r="H12" s="8">
        <v>2</v>
      </c>
      <c r="I12" s="8">
        <v>0</v>
      </c>
      <c r="J12" s="9">
        <v>0</v>
      </c>
      <c r="K12" s="8">
        <f t="shared" si="0"/>
        <v>0</v>
      </c>
      <c r="L12" s="7">
        <f t="shared" si="1"/>
        <v>1</v>
      </c>
      <c r="M12" s="7">
        <f t="shared" si="2"/>
        <v>0</v>
      </c>
      <c r="N12" s="7">
        <f t="shared" si="3"/>
        <v>0</v>
      </c>
      <c r="O12" s="219"/>
      <c r="P12" s="219"/>
      <c r="Q12" s="219"/>
    </row>
    <row r="13" spans="1:17" ht="30">
      <c r="A13" s="7">
        <v>5</v>
      </c>
      <c r="B13" s="8" t="s">
        <v>156</v>
      </c>
      <c r="C13" s="9"/>
      <c r="D13" s="9"/>
      <c r="E13" s="9"/>
      <c r="F13" s="10"/>
      <c r="G13" s="8">
        <v>1</v>
      </c>
      <c r="H13" s="8">
        <v>2</v>
      </c>
      <c r="I13" s="8">
        <v>0</v>
      </c>
      <c r="J13" s="9">
        <v>0</v>
      </c>
      <c r="K13" s="8">
        <f t="shared" si="0"/>
        <v>0</v>
      </c>
      <c r="L13" s="7">
        <f t="shared" si="1"/>
        <v>1</v>
      </c>
      <c r="M13" s="7">
        <f t="shared" si="2"/>
        <v>0</v>
      </c>
      <c r="N13" s="7">
        <f t="shared" si="3"/>
        <v>0</v>
      </c>
      <c r="O13" s="219"/>
      <c r="P13" s="219"/>
      <c r="Q13" s="219"/>
    </row>
    <row r="14" spans="1:17">
      <c r="A14" s="7">
        <v>6</v>
      </c>
      <c r="B14" s="8" t="s">
        <v>21</v>
      </c>
      <c r="C14" s="9"/>
      <c r="D14" s="9"/>
      <c r="E14" s="9"/>
      <c r="F14" s="10"/>
      <c r="G14" s="8">
        <v>1</v>
      </c>
      <c r="H14" s="8">
        <v>2</v>
      </c>
      <c r="I14" s="8">
        <v>0</v>
      </c>
      <c r="J14" s="9">
        <v>0</v>
      </c>
      <c r="K14" s="8">
        <f t="shared" si="0"/>
        <v>0</v>
      </c>
      <c r="L14" s="7">
        <f t="shared" si="1"/>
        <v>1</v>
      </c>
      <c r="M14" s="7">
        <f t="shared" si="2"/>
        <v>0</v>
      </c>
      <c r="N14" s="7">
        <f t="shared" si="3"/>
        <v>0</v>
      </c>
      <c r="O14" s="219"/>
      <c r="P14" s="219"/>
      <c r="Q14" s="219"/>
    </row>
    <row r="15" spans="1:17" ht="45">
      <c r="A15" s="7">
        <v>7</v>
      </c>
      <c r="B15" s="8" t="s">
        <v>16</v>
      </c>
      <c r="C15" s="9"/>
      <c r="D15" s="9"/>
      <c r="E15" s="9"/>
      <c r="F15" s="10"/>
      <c r="G15" s="8">
        <v>1</v>
      </c>
      <c r="H15" s="8">
        <v>2</v>
      </c>
      <c r="I15" s="8">
        <v>0</v>
      </c>
      <c r="J15" s="9">
        <v>0</v>
      </c>
      <c r="K15" s="8">
        <f t="shared" si="0"/>
        <v>0</v>
      </c>
      <c r="L15" s="7">
        <f t="shared" si="1"/>
        <v>1</v>
      </c>
      <c r="M15" s="7">
        <f t="shared" si="2"/>
        <v>0</v>
      </c>
      <c r="N15" s="7">
        <f t="shared" si="3"/>
        <v>0</v>
      </c>
      <c r="O15" s="219"/>
      <c r="P15" s="219"/>
      <c r="Q15" s="219"/>
    </row>
    <row r="16" spans="1:17">
      <c r="A16" s="7">
        <v>8</v>
      </c>
      <c r="B16" s="8" t="s">
        <v>20</v>
      </c>
      <c r="C16" s="9"/>
      <c r="D16" s="9"/>
      <c r="E16" s="9"/>
      <c r="F16" s="9"/>
      <c r="G16" s="8">
        <v>1</v>
      </c>
      <c r="H16" s="8">
        <v>2</v>
      </c>
      <c r="I16" s="8">
        <v>0</v>
      </c>
      <c r="J16" s="9">
        <v>0</v>
      </c>
      <c r="K16" s="8">
        <f t="shared" si="0"/>
        <v>0</v>
      </c>
      <c r="L16" s="7">
        <f t="shared" si="1"/>
        <v>1</v>
      </c>
      <c r="M16" s="7">
        <f t="shared" si="2"/>
        <v>0</v>
      </c>
      <c r="N16" s="7">
        <f t="shared" si="3"/>
        <v>0</v>
      </c>
      <c r="O16" s="219"/>
      <c r="P16" s="219"/>
      <c r="Q16" s="219"/>
    </row>
    <row r="17" spans="1:17">
      <c r="A17" s="7">
        <v>9</v>
      </c>
      <c r="B17" s="8" t="s">
        <v>19</v>
      </c>
      <c r="C17" s="9"/>
      <c r="D17" s="9"/>
      <c r="E17" s="9"/>
      <c r="F17" s="9"/>
      <c r="G17" s="8">
        <v>1</v>
      </c>
      <c r="H17" s="8">
        <v>2</v>
      </c>
      <c r="I17" s="8">
        <v>0</v>
      </c>
      <c r="J17" s="9">
        <v>0</v>
      </c>
      <c r="K17" s="8">
        <f t="shared" si="0"/>
        <v>0</v>
      </c>
      <c r="L17" s="7">
        <f t="shared" si="1"/>
        <v>1</v>
      </c>
      <c r="M17" s="7">
        <f t="shared" si="2"/>
        <v>0</v>
      </c>
      <c r="N17" s="7">
        <f t="shared" si="3"/>
        <v>0</v>
      </c>
      <c r="O17" s="220"/>
      <c r="P17" s="220"/>
      <c r="Q17" s="220"/>
    </row>
    <row r="18" spans="1:17">
      <c r="A18" s="227" t="s">
        <v>24</v>
      </c>
      <c r="B18" s="229"/>
      <c r="C18" s="229"/>
      <c r="D18" s="229"/>
      <c r="E18" s="229"/>
      <c r="F18" s="229"/>
      <c r="G18" s="229"/>
      <c r="H18" s="229"/>
      <c r="I18" s="229"/>
      <c r="J18" s="229"/>
      <c r="K18" s="229"/>
      <c r="L18" s="229"/>
      <c r="M18" s="229"/>
      <c r="N18" s="229"/>
      <c r="O18" s="229"/>
      <c r="P18" s="229"/>
      <c r="Q18" s="230"/>
    </row>
    <row r="19" spans="1:17" ht="30">
      <c r="A19" s="11">
        <v>10</v>
      </c>
      <c r="B19" s="12" t="s">
        <v>27</v>
      </c>
      <c r="C19" s="13"/>
      <c r="D19" s="13"/>
      <c r="E19" s="13"/>
      <c r="F19" s="13"/>
      <c r="G19" s="8">
        <v>1</v>
      </c>
      <c r="H19" s="8">
        <v>2</v>
      </c>
      <c r="I19" s="8">
        <v>0</v>
      </c>
      <c r="J19" s="13">
        <v>0</v>
      </c>
      <c r="K19" s="8">
        <f>IF(G19&gt;1,1,0)</f>
        <v>0</v>
      </c>
      <c r="L19" s="7">
        <f>IF(H19&gt;1,1,0)</f>
        <v>1</v>
      </c>
      <c r="M19" s="7">
        <f>IF(I19&gt;1,1,0)</f>
        <v>0</v>
      </c>
      <c r="N19" s="11">
        <f>IF(J19&gt;1,1,0)</f>
        <v>0</v>
      </c>
      <c r="O19" s="234">
        <f>SUM(K19:N27)</f>
        <v>9</v>
      </c>
      <c r="P19" s="234">
        <f>AVERAGE(O19/2)</f>
        <v>4.5</v>
      </c>
      <c r="Q19" s="254" t="str">
        <f>IF(AVERAGE(O19/2)&gt;6,"Hyperactivity/Impulsive","Relaxed/Apathy")</f>
        <v>Relaxed/Apathy</v>
      </c>
    </row>
    <row r="20" spans="1:17">
      <c r="A20" s="11">
        <v>11</v>
      </c>
      <c r="B20" s="12" t="s">
        <v>25</v>
      </c>
      <c r="C20" s="13"/>
      <c r="D20" s="13"/>
      <c r="E20" s="13"/>
      <c r="F20" s="14"/>
      <c r="G20" s="8">
        <v>1</v>
      </c>
      <c r="H20" s="8">
        <v>2</v>
      </c>
      <c r="I20" s="8">
        <v>0</v>
      </c>
      <c r="J20" s="13">
        <v>0</v>
      </c>
      <c r="K20" s="8">
        <f t="shared" ref="K20:K27" si="4">IF(G20&gt;1,1,0)</f>
        <v>0</v>
      </c>
      <c r="L20" s="7">
        <f t="shared" ref="L20:L27" si="5">IF(H20&gt;1,1,0)</f>
        <v>1</v>
      </c>
      <c r="M20" s="7">
        <f t="shared" ref="M20:M27" si="6">IF(I20&gt;1,1,0)</f>
        <v>0</v>
      </c>
      <c r="N20" s="11">
        <f t="shared" ref="N20:N27" si="7">IF(J20&gt;1,1,0)</f>
        <v>0</v>
      </c>
      <c r="O20" s="235"/>
      <c r="P20" s="235"/>
      <c r="Q20" s="255"/>
    </row>
    <row r="21" spans="1:17" ht="45">
      <c r="A21" s="11">
        <v>12</v>
      </c>
      <c r="B21" s="12" t="s">
        <v>18</v>
      </c>
      <c r="C21" s="13"/>
      <c r="D21" s="13"/>
      <c r="E21" s="13"/>
      <c r="F21" s="14"/>
      <c r="G21" s="8">
        <v>1</v>
      </c>
      <c r="H21" s="8">
        <v>2</v>
      </c>
      <c r="I21" s="8">
        <v>0</v>
      </c>
      <c r="J21" s="13">
        <v>0</v>
      </c>
      <c r="K21" s="8">
        <f t="shared" si="4"/>
        <v>0</v>
      </c>
      <c r="L21" s="7">
        <f t="shared" si="5"/>
        <v>1</v>
      </c>
      <c r="M21" s="7">
        <f t="shared" si="6"/>
        <v>0</v>
      </c>
      <c r="N21" s="11">
        <f t="shared" si="7"/>
        <v>0</v>
      </c>
      <c r="O21" s="235"/>
      <c r="P21" s="235"/>
      <c r="Q21" s="255"/>
    </row>
    <row r="22" spans="1:17" ht="30">
      <c r="A22" s="11">
        <v>13</v>
      </c>
      <c r="B22" s="12" t="s">
        <v>13</v>
      </c>
      <c r="C22" s="13"/>
      <c r="D22" s="13"/>
      <c r="E22" s="13"/>
      <c r="F22" s="14"/>
      <c r="G22" s="8">
        <v>1</v>
      </c>
      <c r="H22" s="8">
        <v>2</v>
      </c>
      <c r="I22" s="8">
        <v>0</v>
      </c>
      <c r="J22" s="13">
        <v>0</v>
      </c>
      <c r="K22" s="8">
        <f t="shared" si="4"/>
        <v>0</v>
      </c>
      <c r="L22" s="7">
        <f t="shared" si="5"/>
        <v>1</v>
      </c>
      <c r="M22" s="7">
        <f t="shared" si="6"/>
        <v>0</v>
      </c>
      <c r="N22" s="11">
        <f t="shared" si="7"/>
        <v>0</v>
      </c>
      <c r="O22" s="235"/>
      <c r="P22" s="235"/>
      <c r="Q22" s="255"/>
    </row>
    <row r="23" spans="1:17">
      <c r="A23" s="11">
        <v>14</v>
      </c>
      <c r="B23" s="12" t="s">
        <v>30</v>
      </c>
      <c r="C23" s="13"/>
      <c r="D23" s="13"/>
      <c r="E23" s="13"/>
      <c r="F23" s="13"/>
      <c r="G23" s="8">
        <v>1</v>
      </c>
      <c r="H23" s="8">
        <v>2</v>
      </c>
      <c r="I23" s="8">
        <v>0</v>
      </c>
      <c r="J23" s="13">
        <v>0</v>
      </c>
      <c r="K23" s="8">
        <f t="shared" si="4"/>
        <v>0</v>
      </c>
      <c r="L23" s="7">
        <f t="shared" si="5"/>
        <v>1</v>
      </c>
      <c r="M23" s="7">
        <f t="shared" si="6"/>
        <v>0</v>
      </c>
      <c r="N23" s="11">
        <f t="shared" si="7"/>
        <v>0</v>
      </c>
      <c r="O23" s="235"/>
      <c r="P23" s="235"/>
      <c r="Q23" s="255"/>
    </row>
    <row r="24" spans="1:17" ht="30">
      <c r="A24" s="11">
        <v>15</v>
      </c>
      <c r="B24" s="12" t="s">
        <v>23</v>
      </c>
      <c r="C24" s="13"/>
      <c r="D24" s="13"/>
      <c r="E24" s="13"/>
      <c r="F24" s="13"/>
      <c r="G24" s="8">
        <v>1</v>
      </c>
      <c r="H24" s="8">
        <v>2</v>
      </c>
      <c r="I24" s="8">
        <v>0</v>
      </c>
      <c r="J24" s="13">
        <v>0</v>
      </c>
      <c r="K24" s="8">
        <f t="shared" si="4"/>
        <v>0</v>
      </c>
      <c r="L24" s="7">
        <f t="shared" si="5"/>
        <v>1</v>
      </c>
      <c r="M24" s="7">
        <f t="shared" si="6"/>
        <v>0</v>
      </c>
      <c r="N24" s="11">
        <f t="shared" si="7"/>
        <v>0</v>
      </c>
      <c r="O24" s="235"/>
      <c r="P24" s="235"/>
      <c r="Q24" s="255"/>
    </row>
    <row r="25" spans="1:17">
      <c r="A25" s="11">
        <v>16</v>
      </c>
      <c r="B25" s="12" t="s">
        <v>38</v>
      </c>
      <c r="C25" s="13"/>
      <c r="D25" s="13"/>
      <c r="E25" s="13"/>
      <c r="F25" s="13"/>
      <c r="G25" s="8">
        <v>1</v>
      </c>
      <c r="H25" s="8">
        <v>2</v>
      </c>
      <c r="I25" s="8">
        <v>0</v>
      </c>
      <c r="J25" s="13">
        <v>0</v>
      </c>
      <c r="K25" s="8">
        <f t="shared" si="4"/>
        <v>0</v>
      </c>
      <c r="L25" s="7">
        <f t="shared" si="5"/>
        <v>1</v>
      </c>
      <c r="M25" s="7">
        <f t="shared" si="6"/>
        <v>0</v>
      </c>
      <c r="N25" s="11">
        <f t="shared" si="7"/>
        <v>0</v>
      </c>
      <c r="O25" s="235"/>
      <c r="P25" s="235"/>
      <c r="Q25" s="255"/>
    </row>
    <row r="26" spans="1:17">
      <c r="A26" s="11">
        <v>17</v>
      </c>
      <c r="B26" s="12" t="s">
        <v>35</v>
      </c>
      <c r="C26" s="13"/>
      <c r="D26" s="13"/>
      <c r="E26" s="13"/>
      <c r="F26" s="13"/>
      <c r="G26" s="8">
        <v>1</v>
      </c>
      <c r="H26" s="8">
        <v>2</v>
      </c>
      <c r="I26" s="8">
        <v>0</v>
      </c>
      <c r="J26" s="13">
        <v>0</v>
      </c>
      <c r="K26" s="8">
        <f t="shared" si="4"/>
        <v>0</v>
      </c>
      <c r="L26" s="7">
        <f t="shared" si="5"/>
        <v>1</v>
      </c>
      <c r="M26" s="7">
        <f t="shared" si="6"/>
        <v>0</v>
      </c>
      <c r="N26" s="11">
        <f t="shared" si="7"/>
        <v>0</v>
      </c>
      <c r="O26" s="235"/>
      <c r="P26" s="235"/>
      <c r="Q26" s="255"/>
    </row>
    <row r="27" spans="1:17">
      <c r="A27" s="11">
        <v>18</v>
      </c>
      <c r="B27" s="12" t="s">
        <v>34</v>
      </c>
      <c r="C27" s="13"/>
      <c r="D27" s="13"/>
      <c r="E27" s="13"/>
      <c r="F27" s="14"/>
      <c r="G27" s="8">
        <v>1</v>
      </c>
      <c r="H27" s="8">
        <v>2</v>
      </c>
      <c r="I27" s="8">
        <v>0</v>
      </c>
      <c r="J27" s="13">
        <v>0</v>
      </c>
      <c r="K27" s="8">
        <f t="shared" si="4"/>
        <v>0</v>
      </c>
      <c r="L27" s="7">
        <f t="shared" si="5"/>
        <v>1</v>
      </c>
      <c r="M27" s="7">
        <f t="shared" si="6"/>
        <v>0</v>
      </c>
      <c r="N27" s="11">
        <f t="shared" si="7"/>
        <v>0</v>
      </c>
      <c r="O27" s="236"/>
      <c r="P27" s="236"/>
      <c r="Q27" s="256"/>
    </row>
    <row r="28" spans="1:17">
      <c r="A28" s="257" t="s">
        <v>37</v>
      </c>
      <c r="B28" s="258"/>
      <c r="C28" s="258"/>
      <c r="D28" s="258"/>
      <c r="E28" s="258"/>
      <c r="F28" s="258"/>
      <c r="G28" s="258"/>
      <c r="H28" s="258"/>
      <c r="I28" s="258"/>
      <c r="J28" s="258"/>
      <c r="K28" s="258"/>
      <c r="L28" s="258"/>
      <c r="M28" s="258"/>
      <c r="N28" s="258"/>
      <c r="O28" s="258"/>
      <c r="P28" s="258"/>
      <c r="Q28" s="259"/>
    </row>
    <row r="29" spans="1:17">
      <c r="A29" s="15">
        <v>19</v>
      </c>
      <c r="B29" s="16" t="s">
        <v>28</v>
      </c>
      <c r="C29" s="17"/>
      <c r="D29" s="17"/>
      <c r="E29" s="17"/>
      <c r="F29" s="17"/>
      <c r="G29" s="8">
        <v>1</v>
      </c>
      <c r="H29" s="8">
        <v>2</v>
      </c>
      <c r="I29" s="8">
        <v>0</v>
      </c>
      <c r="J29" s="17">
        <v>0</v>
      </c>
      <c r="K29" s="8">
        <f>IF(G29&gt;1,1,0)</f>
        <v>0</v>
      </c>
      <c r="L29" s="7">
        <f>IF(H29&gt;1,1,0)</f>
        <v>1</v>
      </c>
      <c r="M29" s="7">
        <f>IF(I29&gt;1,1,0)</f>
        <v>0</v>
      </c>
      <c r="N29" s="15">
        <f>IF(J29&gt;1,1,0)</f>
        <v>0</v>
      </c>
      <c r="O29" s="241">
        <f>SUM(K29:N36)</f>
        <v>8</v>
      </c>
      <c r="P29" s="241">
        <f>AVERAGE(O29/2)</f>
        <v>4</v>
      </c>
      <c r="Q29" s="260" t="str">
        <f>IF(AVERAGE(O29/2)&gt;4,"Oppositional Defient Disorder","Conduct Disorder")</f>
        <v>Conduct Disorder</v>
      </c>
    </row>
    <row r="30" spans="1:17" ht="30">
      <c r="A30" s="15">
        <v>20</v>
      </c>
      <c r="B30" s="16" t="s">
        <v>39</v>
      </c>
      <c r="C30" s="17"/>
      <c r="D30" s="17"/>
      <c r="E30" s="17"/>
      <c r="F30" s="17"/>
      <c r="G30" s="8">
        <v>1</v>
      </c>
      <c r="H30" s="8">
        <v>2</v>
      </c>
      <c r="I30" s="8">
        <v>0</v>
      </c>
      <c r="J30" s="17">
        <v>0</v>
      </c>
      <c r="K30" s="8">
        <f t="shared" ref="K30:K36" si="8">IF(G30&gt;1,1,0)</f>
        <v>0</v>
      </c>
      <c r="L30" s="7">
        <f t="shared" ref="L30:L36" si="9">IF(H30&gt;1,1,0)</f>
        <v>1</v>
      </c>
      <c r="M30" s="7">
        <f t="shared" ref="M30:M36" si="10">IF(I30&gt;1,1,0)</f>
        <v>0</v>
      </c>
      <c r="N30" s="15">
        <f t="shared" ref="N30:N36" si="11">IF(J30&gt;1,1,0)</f>
        <v>0</v>
      </c>
      <c r="O30" s="242"/>
      <c r="P30" s="242"/>
      <c r="Q30" s="261"/>
    </row>
    <row r="31" spans="1:17" ht="45">
      <c r="A31" s="15">
        <v>21</v>
      </c>
      <c r="B31" s="16" t="s">
        <v>157</v>
      </c>
      <c r="C31" s="17"/>
      <c r="D31" s="17"/>
      <c r="E31" s="17"/>
      <c r="F31" s="18"/>
      <c r="G31" s="8">
        <v>1</v>
      </c>
      <c r="H31" s="8">
        <v>2</v>
      </c>
      <c r="I31" s="8">
        <v>0</v>
      </c>
      <c r="J31" s="17">
        <v>0</v>
      </c>
      <c r="K31" s="8">
        <f t="shared" si="8"/>
        <v>0</v>
      </c>
      <c r="L31" s="7">
        <f t="shared" si="9"/>
        <v>1</v>
      </c>
      <c r="M31" s="7">
        <f t="shared" si="10"/>
        <v>0</v>
      </c>
      <c r="N31" s="15">
        <f t="shared" si="11"/>
        <v>0</v>
      </c>
      <c r="O31" s="242"/>
      <c r="P31" s="242"/>
      <c r="Q31" s="261"/>
    </row>
    <row r="32" spans="1:17" ht="30">
      <c r="A32" s="15">
        <v>22</v>
      </c>
      <c r="B32" s="16" t="s">
        <v>41</v>
      </c>
      <c r="C32" s="17"/>
      <c r="D32" s="17"/>
      <c r="E32" s="17"/>
      <c r="F32" s="18"/>
      <c r="G32" s="8">
        <v>1</v>
      </c>
      <c r="H32" s="8">
        <v>2</v>
      </c>
      <c r="I32" s="8">
        <v>0</v>
      </c>
      <c r="J32" s="17">
        <v>0</v>
      </c>
      <c r="K32" s="8">
        <f t="shared" si="8"/>
        <v>0</v>
      </c>
      <c r="L32" s="7">
        <f t="shared" si="9"/>
        <v>1</v>
      </c>
      <c r="M32" s="7">
        <f t="shared" si="10"/>
        <v>0</v>
      </c>
      <c r="N32" s="15">
        <f t="shared" si="11"/>
        <v>0</v>
      </c>
      <c r="O32" s="242"/>
      <c r="P32" s="242"/>
      <c r="Q32" s="261"/>
    </row>
    <row r="33" spans="1:17" ht="30">
      <c r="A33" s="15">
        <v>23</v>
      </c>
      <c r="B33" s="16" t="s">
        <v>36</v>
      </c>
      <c r="C33" s="17"/>
      <c r="D33" s="17"/>
      <c r="E33" s="17"/>
      <c r="F33" s="18"/>
      <c r="G33" s="8">
        <v>1</v>
      </c>
      <c r="H33" s="8">
        <v>2</v>
      </c>
      <c r="I33" s="8">
        <v>0</v>
      </c>
      <c r="J33" s="17">
        <v>0</v>
      </c>
      <c r="K33" s="8">
        <f t="shared" si="8"/>
        <v>0</v>
      </c>
      <c r="L33" s="7">
        <f t="shared" si="9"/>
        <v>1</v>
      </c>
      <c r="M33" s="7">
        <f t="shared" si="10"/>
        <v>0</v>
      </c>
      <c r="N33" s="15">
        <f t="shared" si="11"/>
        <v>0</v>
      </c>
      <c r="O33" s="242"/>
      <c r="P33" s="242"/>
      <c r="Q33" s="261"/>
    </row>
    <row r="34" spans="1:17" ht="30">
      <c r="A34" s="15">
        <v>24</v>
      </c>
      <c r="B34" s="16" t="s">
        <v>29</v>
      </c>
      <c r="C34" s="17"/>
      <c r="D34" s="17"/>
      <c r="E34" s="17"/>
      <c r="F34" s="18"/>
      <c r="G34" s="8">
        <v>1</v>
      </c>
      <c r="H34" s="8">
        <v>2</v>
      </c>
      <c r="I34" s="8">
        <v>0</v>
      </c>
      <c r="J34" s="17">
        <v>0</v>
      </c>
      <c r="K34" s="8">
        <f t="shared" si="8"/>
        <v>0</v>
      </c>
      <c r="L34" s="7">
        <f t="shared" si="9"/>
        <v>1</v>
      </c>
      <c r="M34" s="7">
        <f t="shared" si="10"/>
        <v>0</v>
      </c>
      <c r="N34" s="15">
        <f t="shared" si="11"/>
        <v>0</v>
      </c>
      <c r="O34" s="242"/>
      <c r="P34" s="242"/>
      <c r="Q34" s="261"/>
    </row>
    <row r="35" spans="1:17">
      <c r="A35" s="15">
        <v>25</v>
      </c>
      <c r="B35" s="16" t="s">
        <v>32</v>
      </c>
      <c r="C35" s="17"/>
      <c r="D35" s="17"/>
      <c r="E35" s="17"/>
      <c r="F35" s="17"/>
      <c r="G35" s="8">
        <v>1</v>
      </c>
      <c r="H35" s="8">
        <v>2</v>
      </c>
      <c r="I35" s="8">
        <v>0</v>
      </c>
      <c r="J35" s="17">
        <v>0</v>
      </c>
      <c r="K35" s="8">
        <f t="shared" si="8"/>
        <v>0</v>
      </c>
      <c r="L35" s="7">
        <f t="shared" si="9"/>
        <v>1</v>
      </c>
      <c r="M35" s="7">
        <f t="shared" si="10"/>
        <v>0</v>
      </c>
      <c r="N35" s="15">
        <f t="shared" si="11"/>
        <v>0</v>
      </c>
      <c r="O35" s="242"/>
      <c r="P35" s="242"/>
      <c r="Q35" s="261"/>
    </row>
    <row r="36" spans="1:17">
      <c r="A36" s="15">
        <v>26</v>
      </c>
      <c r="B36" s="16" t="s">
        <v>40</v>
      </c>
      <c r="C36" s="17"/>
      <c r="D36" s="17"/>
      <c r="E36" s="17"/>
      <c r="F36" s="18"/>
      <c r="G36" s="8">
        <v>1</v>
      </c>
      <c r="H36" s="8">
        <v>2</v>
      </c>
      <c r="I36" s="8">
        <v>0</v>
      </c>
      <c r="J36" s="17">
        <v>0</v>
      </c>
      <c r="K36" s="8">
        <f t="shared" si="8"/>
        <v>0</v>
      </c>
      <c r="L36" s="7">
        <f t="shared" si="9"/>
        <v>1</v>
      </c>
      <c r="M36" s="7">
        <f t="shared" si="10"/>
        <v>0</v>
      </c>
      <c r="N36" s="15">
        <f t="shared" si="11"/>
        <v>0</v>
      </c>
      <c r="O36" s="243"/>
      <c r="P36" s="243"/>
      <c r="Q36" s="262"/>
    </row>
  </sheetData>
  <mergeCells count="13">
    <mergeCell ref="P19:P27"/>
    <mergeCell ref="O29:O36"/>
    <mergeCell ref="P29:P36"/>
    <mergeCell ref="A1:Q1"/>
    <mergeCell ref="A8:Q8"/>
    <mergeCell ref="Q9:Q17"/>
    <mergeCell ref="A18:Q18"/>
    <mergeCell ref="Q19:Q27"/>
    <mergeCell ref="A28:Q28"/>
    <mergeCell ref="Q29:Q36"/>
    <mergeCell ref="O9:O17"/>
    <mergeCell ref="P9:P17"/>
    <mergeCell ref="O19:O2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17A43-3017-4096-953D-E68A89B2D68D}">
  <sheetPr codeName="Sheet7"/>
  <dimension ref="A1:N35"/>
  <sheetViews>
    <sheetView workbookViewId="0">
      <selection activeCell="H8" sqref="H8"/>
    </sheetView>
  </sheetViews>
  <sheetFormatPr defaultRowHeight="15"/>
  <cols>
    <col min="2" max="2" width="38.140625" customWidth="1"/>
    <col min="7" max="9" width="10.28515625" customWidth="1"/>
    <col min="10" max="10" width="13.42578125" customWidth="1"/>
    <col min="11" max="11" width="12.7109375" customWidth="1"/>
    <col min="12" max="12" width="14.28515625" customWidth="1"/>
    <col min="13" max="13" width="9.7109375" customWidth="1"/>
    <col min="14" max="14" width="25.7109375" customWidth="1"/>
  </cols>
  <sheetData>
    <row r="1" spans="1:14">
      <c r="A1" s="244" t="s">
        <v>42</v>
      </c>
      <c r="B1" s="244"/>
      <c r="C1" s="244"/>
      <c r="D1" s="244"/>
      <c r="E1" s="244"/>
      <c r="F1" s="244"/>
      <c r="G1" s="244"/>
      <c r="H1" s="244"/>
      <c r="I1" s="244"/>
      <c r="J1" s="244"/>
      <c r="K1" s="244"/>
      <c r="L1" s="244"/>
      <c r="M1" s="244"/>
      <c r="N1" s="244"/>
    </row>
    <row r="2" spans="1:14">
      <c r="A2" s="4">
        <v>1</v>
      </c>
      <c r="B2" s="2" t="str">
        <f>IF(SUM(J8:L16)/2&lt;1.78,"Attention","InAttention")</f>
        <v>InAttention</v>
      </c>
    </row>
    <row r="3" spans="1:14">
      <c r="A3" s="4">
        <v>2</v>
      </c>
      <c r="B3" s="2" t="str">
        <f>IF(SUM(J18:L26)/2&lt;=1.44,"Relaxed/Apathy","Hyperactivity/Impulsive")</f>
        <v>Hyperactivity/Impulsive</v>
      </c>
    </row>
    <row r="4" spans="1:14">
      <c r="A4" s="4">
        <v>3</v>
      </c>
      <c r="B4" s="2" t="str">
        <f>IF(SUM(J28:L35)/2&lt;1.88,"Conduct Disorder","Opositional Deficient")</f>
        <v>Opositional Deficient</v>
      </c>
    </row>
    <row r="5" spans="1:14">
      <c r="A5" s="5"/>
    </row>
    <row r="6" spans="1:14" ht="85.5" customHeight="1">
      <c r="A6" s="6" t="s">
        <v>1</v>
      </c>
      <c r="B6" s="1" t="s">
        <v>43</v>
      </c>
      <c r="C6" s="1" t="s">
        <v>44</v>
      </c>
      <c r="D6" s="1" t="s">
        <v>45</v>
      </c>
      <c r="E6" s="1" t="s">
        <v>46</v>
      </c>
      <c r="F6" s="1" t="s">
        <v>47</v>
      </c>
      <c r="G6" s="1" t="s">
        <v>149</v>
      </c>
      <c r="H6" s="1" t="s">
        <v>148</v>
      </c>
      <c r="I6" s="1" t="s">
        <v>150</v>
      </c>
      <c r="J6" s="22" t="s">
        <v>158</v>
      </c>
      <c r="K6" s="22" t="s">
        <v>159</v>
      </c>
      <c r="L6" s="22" t="s">
        <v>160</v>
      </c>
      <c r="M6" s="22" t="s">
        <v>155</v>
      </c>
      <c r="N6" s="1" t="s">
        <v>49</v>
      </c>
    </row>
    <row r="7" spans="1:14" ht="19.5" customHeight="1">
      <c r="A7" s="224" t="s">
        <v>50</v>
      </c>
      <c r="B7" s="225"/>
      <c r="C7" s="225"/>
      <c r="D7" s="225"/>
      <c r="E7" s="225"/>
      <c r="F7" s="225"/>
      <c r="G7" s="225"/>
      <c r="H7" s="225"/>
      <c r="I7" s="225"/>
      <c r="J7" s="225"/>
      <c r="K7" s="225"/>
      <c r="L7" s="225"/>
      <c r="M7" s="225"/>
      <c r="N7" s="226"/>
    </row>
    <row r="8" spans="1:14" ht="40.5" customHeight="1">
      <c r="A8" s="7">
        <v>1</v>
      </c>
      <c r="B8" s="9" t="s">
        <v>51</v>
      </c>
      <c r="C8" s="9"/>
      <c r="D8" s="9"/>
      <c r="E8" s="19"/>
      <c r="F8" s="19"/>
      <c r="G8" s="10">
        <v>2</v>
      </c>
      <c r="H8" s="10">
        <v>3</v>
      </c>
      <c r="I8" s="10">
        <v>0</v>
      </c>
      <c r="J8" s="248">
        <f>SUM(G8:G16)/9</f>
        <v>2</v>
      </c>
      <c r="K8" s="248">
        <f>SUM(H8:H16)/9</f>
        <v>3</v>
      </c>
      <c r="L8" s="248">
        <f>SUM(I8:I16)/9</f>
        <v>0</v>
      </c>
      <c r="M8" s="248">
        <f>SUM(J8:L16)/2</f>
        <v>2.5</v>
      </c>
      <c r="N8" s="248" t="str">
        <f>IF(SUM(J8:L16)/2&lt;1.78,"Attention","InAttention")</f>
        <v>InAttention</v>
      </c>
    </row>
    <row r="9" spans="1:14" ht="33" customHeight="1">
      <c r="A9" s="7">
        <v>2</v>
      </c>
      <c r="B9" s="9" t="s">
        <v>52</v>
      </c>
      <c r="C9" s="9"/>
      <c r="D9" s="9"/>
      <c r="E9" s="19"/>
      <c r="F9" s="19"/>
      <c r="G9" s="10">
        <v>2</v>
      </c>
      <c r="H9" s="10">
        <v>3</v>
      </c>
      <c r="I9" s="10">
        <v>0</v>
      </c>
      <c r="J9" s="249"/>
      <c r="K9" s="249"/>
      <c r="L9" s="249"/>
      <c r="M9" s="249"/>
      <c r="N9" s="249"/>
    </row>
    <row r="10" spans="1:14" ht="28.5" customHeight="1">
      <c r="A10" s="7">
        <v>3</v>
      </c>
      <c r="B10" s="9" t="s">
        <v>53</v>
      </c>
      <c r="C10" s="9"/>
      <c r="D10" s="9"/>
      <c r="E10" s="19"/>
      <c r="F10" s="19"/>
      <c r="G10" s="10">
        <v>2</v>
      </c>
      <c r="H10" s="10">
        <v>3</v>
      </c>
      <c r="I10" s="10">
        <v>0</v>
      </c>
      <c r="J10" s="249"/>
      <c r="K10" s="249"/>
      <c r="L10" s="249"/>
      <c r="M10" s="249"/>
      <c r="N10" s="249"/>
    </row>
    <row r="11" spans="1:14" ht="40.5" customHeight="1">
      <c r="A11" s="7">
        <v>4</v>
      </c>
      <c r="B11" s="9" t="s">
        <v>54</v>
      </c>
      <c r="C11" s="9"/>
      <c r="D11" s="9"/>
      <c r="E11" s="19"/>
      <c r="F11" s="19"/>
      <c r="G11" s="10">
        <v>2</v>
      </c>
      <c r="H11" s="10">
        <v>3</v>
      </c>
      <c r="I11" s="10">
        <v>0</v>
      </c>
      <c r="J11" s="249"/>
      <c r="K11" s="249"/>
      <c r="L11" s="249"/>
      <c r="M11" s="249"/>
      <c r="N11" s="249"/>
    </row>
    <row r="12" spans="1:14" ht="27.75" customHeight="1">
      <c r="A12" s="7">
        <v>5</v>
      </c>
      <c r="B12" s="9" t="s">
        <v>55</v>
      </c>
      <c r="C12" s="9"/>
      <c r="D12" s="9"/>
      <c r="E12" s="9"/>
      <c r="F12" s="19"/>
      <c r="G12" s="10">
        <v>2</v>
      </c>
      <c r="H12" s="10">
        <v>3</v>
      </c>
      <c r="I12" s="10">
        <v>0</v>
      </c>
      <c r="J12" s="249"/>
      <c r="K12" s="249"/>
      <c r="L12" s="249"/>
      <c r="M12" s="249"/>
      <c r="N12" s="249"/>
    </row>
    <row r="13" spans="1:14" ht="41.25" customHeight="1">
      <c r="A13" s="7">
        <v>6</v>
      </c>
      <c r="B13" s="9" t="s">
        <v>56</v>
      </c>
      <c r="C13" s="9"/>
      <c r="D13" s="9"/>
      <c r="E13" s="19"/>
      <c r="F13" s="19"/>
      <c r="G13" s="10">
        <v>2</v>
      </c>
      <c r="H13" s="10">
        <v>3</v>
      </c>
      <c r="I13" s="10">
        <v>0</v>
      </c>
      <c r="J13" s="249"/>
      <c r="K13" s="249"/>
      <c r="L13" s="249"/>
      <c r="M13" s="249"/>
      <c r="N13" s="249"/>
    </row>
    <row r="14" spans="1:14" ht="39" customHeight="1">
      <c r="A14" s="7">
        <v>7</v>
      </c>
      <c r="B14" s="9" t="s">
        <v>57</v>
      </c>
      <c r="C14" s="9"/>
      <c r="D14" s="9"/>
      <c r="E14" s="19"/>
      <c r="F14" s="19"/>
      <c r="G14" s="10">
        <v>2</v>
      </c>
      <c r="H14" s="10">
        <v>3</v>
      </c>
      <c r="I14" s="10">
        <v>0</v>
      </c>
      <c r="J14" s="249"/>
      <c r="K14" s="249"/>
      <c r="L14" s="249"/>
      <c r="M14" s="249"/>
      <c r="N14" s="249"/>
    </row>
    <row r="15" spans="1:14">
      <c r="A15" s="7">
        <v>8</v>
      </c>
      <c r="B15" s="9" t="s">
        <v>58</v>
      </c>
      <c r="C15" s="9"/>
      <c r="D15" s="9"/>
      <c r="E15" s="9"/>
      <c r="F15" s="19"/>
      <c r="G15" s="10">
        <v>2</v>
      </c>
      <c r="H15" s="10">
        <v>3</v>
      </c>
      <c r="I15" s="10">
        <v>0</v>
      </c>
      <c r="J15" s="249"/>
      <c r="K15" s="249"/>
      <c r="L15" s="249"/>
      <c r="M15" s="249"/>
      <c r="N15" s="249"/>
    </row>
    <row r="16" spans="1:14">
      <c r="A16" s="7">
        <v>9</v>
      </c>
      <c r="B16" s="9" t="s">
        <v>59</v>
      </c>
      <c r="C16" s="9"/>
      <c r="D16" s="9"/>
      <c r="E16" s="9"/>
      <c r="F16" s="19"/>
      <c r="G16" s="10">
        <v>2</v>
      </c>
      <c r="H16" s="10">
        <v>3</v>
      </c>
      <c r="I16" s="10">
        <v>0</v>
      </c>
      <c r="J16" s="250"/>
      <c r="K16" s="250"/>
      <c r="L16" s="250"/>
      <c r="M16" s="250"/>
      <c r="N16" s="250"/>
    </row>
    <row r="17" spans="1:14">
      <c r="A17" s="227" t="s">
        <v>161</v>
      </c>
      <c r="B17" s="229"/>
      <c r="C17" s="229"/>
      <c r="D17" s="229"/>
      <c r="E17" s="229"/>
      <c r="F17" s="229"/>
      <c r="G17" s="229"/>
      <c r="H17" s="229"/>
      <c r="I17" s="229"/>
      <c r="J17" s="229"/>
      <c r="K17" s="229"/>
      <c r="L17" s="229"/>
      <c r="M17" s="229"/>
      <c r="N17" s="230"/>
    </row>
    <row r="18" spans="1:14" ht="30">
      <c r="A18" s="11">
        <v>10</v>
      </c>
      <c r="B18" s="13" t="s">
        <v>61</v>
      </c>
      <c r="C18" s="13"/>
      <c r="D18" s="20"/>
      <c r="E18" s="20"/>
      <c r="F18" s="20"/>
      <c r="G18" s="20">
        <v>2</v>
      </c>
      <c r="H18" s="20">
        <v>3</v>
      </c>
      <c r="I18" s="20">
        <v>0</v>
      </c>
      <c r="J18" s="234">
        <f>SUM(G18:G26)/9</f>
        <v>2</v>
      </c>
      <c r="K18" s="234">
        <f>SUM(H18:H26)/9</f>
        <v>3</v>
      </c>
      <c r="L18" s="234">
        <f>SUM(I18:I26)/9</f>
        <v>0</v>
      </c>
      <c r="M18" s="234">
        <f>SUM(J18:L26)/2</f>
        <v>2.5</v>
      </c>
      <c r="N18" s="234" t="str">
        <f>IF(SUM(J18:L26)/2&lt;=1.44,"Relaxed/Apathy","Hyperactivity/Impulsive")</f>
        <v>Hyperactivity/Impulsive</v>
      </c>
    </row>
    <row r="19" spans="1:14" ht="50.25" customHeight="1">
      <c r="A19" s="11">
        <v>11</v>
      </c>
      <c r="B19" s="13" t="s">
        <v>62</v>
      </c>
      <c r="C19" s="13"/>
      <c r="D19" s="20"/>
      <c r="E19" s="20"/>
      <c r="F19" s="20"/>
      <c r="G19" s="20">
        <v>2</v>
      </c>
      <c r="H19" s="20">
        <v>3</v>
      </c>
      <c r="I19" s="20">
        <v>0</v>
      </c>
      <c r="J19" s="235"/>
      <c r="K19" s="235"/>
      <c r="L19" s="235"/>
      <c r="M19" s="235"/>
      <c r="N19" s="235"/>
    </row>
    <row r="20" spans="1:14" ht="31.5" customHeight="1">
      <c r="A20" s="11">
        <v>12</v>
      </c>
      <c r="B20" s="13" t="s">
        <v>63</v>
      </c>
      <c r="C20" s="13"/>
      <c r="D20" s="20"/>
      <c r="E20" s="20"/>
      <c r="F20" s="20"/>
      <c r="G20" s="20">
        <v>2</v>
      </c>
      <c r="H20" s="20">
        <v>3</v>
      </c>
      <c r="I20" s="20">
        <v>0</v>
      </c>
      <c r="J20" s="235"/>
      <c r="K20" s="235"/>
      <c r="L20" s="235"/>
      <c r="M20" s="235"/>
      <c r="N20" s="235"/>
    </row>
    <row r="21" spans="1:14" ht="36" customHeight="1">
      <c r="A21" s="11">
        <v>13</v>
      </c>
      <c r="B21" s="13" t="s">
        <v>64</v>
      </c>
      <c r="C21" s="13"/>
      <c r="D21" s="20"/>
      <c r="E21" s="20"/>
      <c r="F21" s="20"/>
      <c r="G21" s="20">
        <v>2</v>
      </c>
      <c r="H21" s="20">
        <v>3</v>
      </c>
      <c r="I21" s="20">
        <v>0</v>
      </c>
      <c r="J21" s="235"/>
      <c r="K21" s="235"/>
      <c r="L21" s="235"/>
      <c r="M21" s="235"/>
      <c r="N21" s="235"/>
    </row>
    <row r="22" spans="1:14" ht="34.5" customHeight="1">
      <c r="A22" s="11">
        <v>14</v>
      </c>
      <c r="B22" s="13" t="s">
        <v>65</v>
      </c>
      <c r="C22" s="13"/>
      <c r="D22" s="20"/>
      <c r="E22" s="20"/>
      <c r="F22" s="20"/>
      <c r="G22" s="20">
        <v>2</v>
      </c>
      <c r="H22" s="20">
        <v>3</v>
      </c>
      <c r="I22" s="20">
        <v>0</v>
      </c>
      <c r="J22" s="235"/>
      <c r="K22" s="235"/>
      <c r="L22" s="235"/>
      <c r="M22" s="235"/>
      <c r="N22" s="235"/>
    </row>
    <row r="23" spans="1:14">
      <c r="A23" s="11">
        <v>15</v>
      </c>
      <c r="B23" s="13" t="s">
        <v>66</v>
      </c>
      <c r="C23" s="13"/>
      <c r="D23" s="13"/>
      <c r="E23" s="20"/>
      <c r="F23" s="20"/>
      <c r="G23" s="20">
        <v>2</v>
      </c>
      <c r="H23" s="20">
        <v>3</v>
      </c>
      <c r="I23" s="20">
        <v>0</v>
      </c>
      <c r="J23" s="235"/>
      <c r="K23" s="235"/>
      <c r="L23" s="235"/>
      <c r="M23" s="235"/>
      <c r="N23" s="235"/>
    </row>
    <row r="24" spans="1:14" ht="29.25" customHeight="1">
      <c r="A24" s="11">
        <v>16</v>
      </c>
      <c r="B24" s="13" t="s">
        <v>67</v>
      </c>
      <c r="C24" s="13"/>
      <c r="D24" s="20"/>
      <c r="E24" s="20"/>
      <c r="F24" s="20"/>
      <c r="G24" s="20">
        <v>2</v>
      </c>
      <c r="H24" s="20">
        <v>3</v>
      </c>
      <c r="I24" s="20">
        <v>0</v>
      </c>
      <c r="J24" s="235"/>
      <c r="K24" s="235"/>
      <c r="L24" s="235"/>
      <c r="M24" s="235"/>
      <c r="N24" s="235"/>
    </row>
    <row r="25" spans="1:14" ht="20.25" customHeight="1">
      <c r="A25" s="11">
        <v>17</v>
      </c>
      <c r="B25" s="13" t="s">
        <v>68</v>
      </c>
      <c r="C25" s="13"/>
      <c r="D25" s="13"/>
      <c r="E25" s="20"/>
      <c r="F25" s="20"/>
      <c r="G25" s="20">
        <v>2</v>
      </c>
      <c r="H25" s="20">
        <v>3</v>
      </c>
      <c r="I25" s="20">
        <v>0</v>
      </c>
      <c r="J25" s="235"/>
      <c r="K25" s="235"/>
      <c r="L25" s="235"/>
      <c r="M25" s="235"/>
      <c r="N25" s="235"/>
    </row>
    <row r="26" spans="1:14" ht="30">
      <c r="A26" s="11">
        <v>18</v>
      </c>
      <c r="B26" s="13" t="s">
        <v>69</v>
      </c>
      <c r="C26" s="13"/>
      <c r="D26" s="20"/>
      <c r="E26" s="20"/>
      <c r="F26" s="20"/>
      <c r="G26" s="20">
        <v>2</v>
      </c>
      <c r="H26" s="20">
        <v>3</v>
      </c>
      <c r="I26" s="20">
        <v>0</v>
      </c>
      <c r="J26" s="236"/>
      <c r="K26" s="236"/>
      <c r="L26" s="236"/>
      <c r="M26" s="236"/>
      <c r="N26" s="236"/>
    </row>
    <row r="27" spans="1:14">
      <c r="A27" s="245" t="s">
        <v>162</v>
      </c>
      <c r="B27" s="246"/>
      <c r="C27" s="246"/>
      <c r="D27" s="246"/>
      <c r="E27" s="246"/>
      <c r="F27" s="246"/>
      <c r="G27" s="246"/>
      <c r="H27" s="246"/>
      <c r="I27" s="246"/>
      <c r="J27" s="246"/>
      <c r="K27" s="246"/>
      <c r="L27" s="246"/>
      <c r="M27" s="246"/>
      <c r="N27" s="247"/>
    </row>
    <row r="28" spans="1:14">
      <c r="A28" s="15">
        <v>19</v>
      </c>
      <c r="B28" s="17" t="s">
        <v>71</v>
      </c>
      <c r="C28" s="17"/>
      <c r="D28" s="17"/>
      <c r="E28" s="21"/>
      <c r="F28" s="21"/>
      <c r="G28" s="21">
        <v>2</v>
      </c>
      <c r="H28" s="21">
        <v>3</v>
      </c>
      <c r="I28" s="21">
        <v>0</v>
      </c>
      <c r="J28" s="241">
        <f>SUM(G28:G35)/8</f>
        <v>2</v>
      </c>
      <c r="K28" s="241">
        <f>SUM(H28:H35)/8</f>
        <v>3</v>
      </c>
      <c r="L28" s="241">
        <f>SUM(I28:I36)/8</f>
        <v>0</v>
      </c>
      <c r="M28" s="260">
        <f>SUM(J28:L35)/2</f>
        <v>2.5</v>
      </c>
      <c r="N28" s="241" t="str">
        <f>IF(SUM(J28:L35)/2&lt;1.88,"Conduct Disorder","Opositional Deficient")</f>
        <v>Opositional Deficient</v>
      </c>
    </row>
    <row r="29" spans="1:14">
      <c r="A29" s="15">
        <v>20</v>
      </c>
      <c r="B29" s="17" t="s">
        <v>72</v>
      </c>
      <c r="C29" s="17"/>
      <c r="D29" s="17"/>
      <c r="E29" s="21"/>
      <c r="F29" s="21"/>
      <c r="G29" s="21">
        <v>2</v>
      </c>
      <c r="H29" s="21">
        <v>3</v>
      </c>
      <c r="I29" s="21">
        <v>0</v>
      </c>
      <c r="J29" s="242"/>
      <c r="K29" s="242"/>
      <c r="L29" s="242"/>
      <c r="M29" s="261"/>
      <c r="N29" s="242"/>
    </row>
    <row r="30" spans="1:14" ht="31.5" customHeight="1">
      <c r="A30" s="15">
        <v>21</v>
      </c>
      <c r="B30" s="17" t="s">
        <v>73</v>
      </c>
      <c r="C30" s="17"/>
      <c r="D30" s="21"/>
      <c r="E30" s="21"/>
      <c r="F30" s="21"/>
      <c r="G30" s="21">
        <v>2</v>
      </c>
      <c r="H30" s="21">
        <v>3</v>
      </c>
      <c r="I30" s="21">
        <v>0</v>
      </c>
      <c r="J30" s="242"/>
      <c r="K30" s="242"/>
      <c r="L30" s="242"/>
      <c r="M30" s="261"/>
      <c r="N30" s="242"/>
    </row>
    <row r="31" spans="1:14" ht="30.75" customHeight="1">
      <c r="A31" s="15">
        <v>22</v>
      </c>
      <c r="B31" s="17" t="s">
        <v>74</v>
      </c>
      <c r="C31" s="17"/>
      <c r="D31" s="21"/>
      <c r="E31" s="21"/>
      <c r="F31" s="21"/>
      <c r="G31" s="21">
        <v>2</v>
      </c>
      <c r="H31" s="21">
        <v>3</v>
      </c>
      <c r="I31" s="21">
        <v>0</v>
      </c>
      <c r="J31" s="242"/>
      <c r="K31" s="242"/>
      <c r="L31" s="242"/>
      <c r="M31" s="261"/>
      <c r="N31" s="242"/>
    </row>
    <row r="32" spans="1:14" ht="33" customHeight="1">
      <c r="A32" s="15">
        <v>23</v>
      </c>
      <c r="B32" s="17" t="s">
        <v>75</v>
      </c>
      <c r="C32" s="17"/>
      <c r="D32" s="21"/>
      <c r="E32" s="21"/>
      <c r="F32" s="21"/>
      <c r="G32" s="21">
        <v>2</v>
      </c>
      <c r="H32" s="21">
        <v>3</v>
      </c>
      <c r="I32" s="21">
        <v>0</v>
      </c>
      <c r="J32" s="242"/>
      <c r="K32" s="242"/>
      <c r="L32" s="242"/>
      <c r="M32" s="261"/>
      <c r="N32" s="242"/>
    </row>
    <row r="33" spans="1:14" ht="30">
      <c r="A33" s="15">
        <v>24</v>
      </c>
      <c r="B33" s="17" t="s">
        <v>76</v>
      </c>
      <c r="C33" s="17"/>
      <c r="D33" s="17"/>
      <c r="E33" s="21"/>
      <c r="F33" s="21"/>
      <c r="G33" s="21">
        <v>2</v>
      </c>
      <c r="H33" s="21">
        <v>3</v>
      </c>
      <c r="I33" s="21">
        <v>0</v>
      </c>
      <c r="J33" s="242"/>
      <c r="K33" s="242"/>
      <c r="L33" s="242"/>
      <c r="M33" s="261"/>
      <c r="N33" s="242"/>
    </row>
    <row r="34" spans="1:14">
      <c r="A34" s="15">
        <v>25</v>
      </c>
      <c r="B34" s="17" t="s">
        <v>77</v>
      </c>
      <c r="C34" s="17"/>
      <c r="D34" s="17"/>
      <c r="E34" s="21"/>
      <c r="F34" s="21"/>
      <c r="G34" s="21">
        <v>2</v>
      </c>
      <c r="H34" s="21">
        <v>3</v>
      </c>
      <c r="I34" s="21">
        <v>0</v>
      </c>
      <c r="J34" s="242"/>
      <c r="K34" s="242"/>
      <c r="L34" s="242"/>
      <c r="M34" s="261"/>
      <c r="N34" s="242"/>
    </row>
    <row r="35" spans="1:14" ht="18" customHeight="1">
      <c r="A35" s="15">
        <v>26</v>
      </c>
      <c r="B35" s="17" t="s">
        <v>78</v>
      </c>
      <c r="C35" s="17"/>
      <c r="D35" s="17"/>
      <c r="E35" s="21"/>
      <c r="F35" s="21"/>
      <c r="G35" s="21">
        <v>2</v>
      </c>
      <c r="H35" s="21">
        <v>3</v>
      </c>
      <c r="I35" s="21">
        <v>0</v>
      </c>
      <c r="J35" s="243"/>
      <c r="K35" s="243"/>
      <c r="L35" s="243"/>
      <c r="M35" s="262"/>
      <c r="N35" s="243"/>
    </row>
  </sheetData>
  <mergeCells count="19">
    <mergeCell ref="A1:N1"/>
    <mergeCell ref="A7:N7"/>
    <mergeCell ref="J8:J16"/>
    <mergeCell ref="N8:N16"/>
    <mergeCell ref="A17:N17"/>
    <mergeCell ref="K8:K16"/>
    <mergeCell ref="L8:L16"/>
    <mergeCell ref="M8:M16"/>
    <mergeCell ref="K18:K26"/>
    <mergeCell ref="L18:L26"/>
    <mergeCell ref="K28:K35"/>
    <mergeCell ref="L28:L35"/>
    <mergeCell ref="M28:M35"/>
    <mergeCell ref="M18:M26"/>
    <mergeCell ref="A27:N27"/>
    <mergeCell ref="J28:J35"/>
    <mergeCell ref="N28:N35"/>
    <mergeCell ref="J18:J26"/>
    <mergeCell ref="N18:N2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4246E-CFBF-4AE7-B054-53AA1D1AAA92}">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D2030-EC05-463E-88DF-626FB6FB2B7B}">
  <sheetPr codeName="Sheet8"/>
  <dimension ref="A1:K44"/>
  <sheetViews>
    <sheetView topLeftCell="A18" workbookViewId="0">
      <selection activeCell="B38" sqref="B38"/>
    </sheetView>
  </sheetViews>
  <sheetFormatPr defaultRowHeight="15"/>
  <cols>
    <col min="1" max="1" width="5.85546875" bestFit="1" customWidth="1"/>
    <col min="2" max="2" width="27.5703125" customWidth="1"/>
    <col min="3" max="3" width="15.28515625" style="5" bestFit="1" customWidth="1"/>
    <col min="4" max="4" width="10.5703125" style="29" customWidth="1"/>
    <col min="5" max="5" width="10.5703125" style="29" bestFit="1" customWidth="1"/>
    <col min="6" max="6" width="9.140625" style="29" customWidth="1"/>
    <col min="7" max="7" width="22.42578125" customWidth="1"/>
    <col min="8" max="8" width="6.7109375" bestFit="1" customWidth="1"/>
    <col min="9" max="9" width="8" bestFit="1" customWidth="1"/>
    <col min="10" max="10" width="12" bestFit="1" customWidth="1"/>
    <col min="11" max="11" width="19.7109375" bestFit="1" customWidth="1"/>
  </cols>
  <sheetData>
    <row r="1" spans="1:11">
      <c r="A1" s="263" t="s">
        <v>163</v>
      </c>
      <c r="B1" s="263"/>
      <c r="C1" s="263"/>
      <c r="D1" s="263"/>
      <c r="E1" s="263"/>
      <c r="F1" s="263"/>
      <c r="G1" s="263"/>
      <c r="H1" s="263"/>
      <c r="I1" s="263"/>
      <c r="J1" s="263"/>
      <c r="K1" s="263"/>
    </row>
    <row r="2" spans="1:11" s="34" customFormat="1">
      <c r="A2" s="33"/>
      <c r="B2" s="33"/>
      <c r="C2" s="33"/>
      <c r="D2" s="33"/>
      <c r="E2" s="33"/>
      <c r="F2" s="33"/>
      <c r="G2" s="33"/>
      <c r="H2" s="33"/>
      <c r="I2" s="33"/>
      <c r="J2" s="33"/>
      <c r="K2" s="33"/>
    </row>
    <row r="3" spans="1:11">
      <c r="A3">
        <v>1</v>
      </c>
      <c r="B3" t="str">
        <f>IF(SUM(G6:I43)/3&gt;15,"likely ASD","Doesn’t indicate ASD")</f>
        <v>Doesn’t indicate ASD</v>
      </c>
      <c r="C3" s="5">
        <f>SUM(G6:I43)/3</f>
        <v>7</v>
      </c>
      <c r="D3" s="29" t="s">
        <v>164</v>
      </c>
    </row>
    <row r="4" spans="1:11" ht="30">
      <c r="A4">
        <v>2</v>
      </c>
      <c r="B4" t="str">
        <f>IF(SUM(G6:G43)&gt;=15,"likely ASD","Doesn’t indicate ASD")</f>
        <v>Doesn’t indicate ASD</v>
      </c>
      <c r="C4" s="5">
        <f>SUM(G6:G43)</f>
        <v>9</v>
      </c>
      <c r="D4" s="29" t="s">
        <v>165</v>
      </c>
    </row>
    <row r="5" spans="1:11" ht="45">
      <c r="A5" s="32" t="s">
        <v>1</v>
      </c>
      <c r="B5" s="32" t="s">
        <v>81</v>
      </c>
      <c r="C5" s="6" t="s">
        <v>166</v>
      </c>
      <c r="D5" s="22" t="s">
        <v>167</v>
      </c>
      <c r="E5" s="22" t="s">
        <v>168</v>
      </c>
      <c r="F5" s="22" t="s">
        <v>169</v>
      </c>
      <c r="G5" s="22" t="s">
        <v>153</v>
      </c>
      <c r="H5" s="22" t="s">
        <v>152</v>
      </c>
      <c r="I5" s="22" t="s">
        <v>154</v>
      </c>
      <c r="J5" s="22" t="s">
        <v>155</v>
      </c>
      <c r="K5" s="22" t="s">
        <v>49</v>
      </c>
    </row>
    <row r="6" spans="1:11" ht="30">
      <c r="A6" s="2">
        <v>1</v>
      </c>
      <c r="B6" s="3" t="s">
        <v>170</v>
      </c>
      <c r="C6" s="4" t="s">
        <v>171</v>
      </c>
      <c r="D6" s="4" t="s">
        <v>172</v>
      </c>
      <c r="E6" s="30" t="s">
        <v>171</v>
      </c>
      <c r="F6" s="30" t="s">
        <v>172</v>
      </c>
      <c r="G6" s="2">
        <f>IF(C6=D6,1,0)</f>
        <v>0</v>
      </c>
      <c r="H6" s="2">
        <v>0</v>
      </c>
      <c r="I6" s="2">
        <f>IF(C6=F6,1,0)</f>
        <v>0</v>
      </c>
      <c r="J6" s="264">
        <f>SUM(G6:I43)/3</f>
        <v>7</v>
      </c>
      <c r="K6" s="264" t="str">
        <f>IF(SUM(G6:I43)/3&gt;=15,"likely ASD","Doesn’t indicate ASD")</f>
        <v>Doesn’t indicate ASD</v>
      </c>
    </row>
    <row r="7" spans="1:11" ht="30">
      <c r="A7" s="2">
        <v>2</v>
      </c>
      <c r="B7" s="3" t="s">
        <v>173</v>
      </c>
      <c r="C7" s="4" t="s">
        <v>171</v>
      </c>
      <c r="D7" s="4" t="s">
        <v>172</v>
      </c>
      <c r="E7" s="30" t="s">
        <v>171</v>
      </c>
      <c r="F7" s="30" t="s">
        <v>172</v>
      </c>
      <c r="G7" s="2">
        <f t="shared" ref="G7:G43" si="0">IF(C7=D7,1,0)</f>
        <v>0</v>
      </c>
      <c r="H7" s="2">
        <v>0</v>
      </c>
      <c r="I7" s="2">
        <f t="shared" ref="I7:I43" si="1">IF(C7=F7,1,0)</f>
        <v>0</v>
      </c>
      <c r="J7" s="265"/>
      <c r="K7" s="265"/>
    </row>
    <row r="8" spans="1:11" ht="30">
      <c r="A8" s="2">
        <v>3</v>
      </c>
      <c r="B8" s="3" t="s">
        <v>174</v>
      </c>
      <c r="C8" s="4"/>
      <c r="D8" s="4" t="s">
        <v>172</v>
      </c>
      <c r="E8" s="30" t="s">
        <v>172</v>
      </c>
      <c r="F8" s="30" t="s">
        <v>171</v>
      </c>
      <c r="G8" s="2">
        <f t="shared" si="0"/>
        <v>0</v>
      </c>
      <c r="H8" s="2">
        <v>0</v>
      </c>
      <c r="I8" s="2">
        <f t="shared" si="1"/>
        <v>0</v>
      </c>
      <c r="J8" s="265"/>
      <c r="K8" s="265"/>
    </row>
    <row r="9" spans="1:11">
      <c r="A9" s="2">
        <v>4</v>
      </c>
      <c r="B9" s="3" t="s">
        <v>175</v>
      </c>
      <c r="C9" s="4"/>
      <c r="D9" s="4" t="s">
        <v>172</v>
      </c>
      <c r="E9" s="30" t="s">
        <v>172</v>
      </c>
      <c r="F9" s="30" t="s">
        <v>171</v>
      </c>
      <c r="G9" s="2">
        <f t="shared" si="0"/>
        <v>0</v>
      </c>
      <c r="H9" s="2">
        <v>0</v>
      </c>
      <c r="I9" s="2">
        <f t="shared" si="1"/>
        <v>0</v>
      </c>
      <c r="J9" s="265"/>
      <c r="K9" s="265"/>
    </row>
    <row r="10" spans="1:11" ht="30">
      <c r="A10" s="2">
        <v>5</v>
      </c>
      <c r="B10" s="3" t="s">
        <v>176</v>
      </c>
      <c r="C10" s="4" t="s">
        <v>171</v>
      </c>
      <c r="D10" s="4" t="s">
        <v>172</v>
      </c>
      <c r="E10" s="30" t="s">
        <v>172</v>
      </c>
      <c r="F10" s="30" t="s">
        <v>172</v>
      </c>
      <c r="G10" s="2">
        <f t="shared" si="0"/>
        <v>0</v>
      </c>
      <c r="H10" s="2">
        <v>0</v>
      </c>
      <c r="I10" s="2">
        <f t="shared" si="1"/>
        <v>0</v>
      </c>
      <c r="J10" s="265"/>
      <c r="K10" s="265"/>
    </row>
    <row r="11" spans="1:11" ht="45">
      <c r="A11" s="2">
        <v>6</v>
      </c>
      <c r="B11" s="3" t="s">
        <v>177</v>
      </c>
      <c r="C11" s="4" t="s">
        <v>172</v>
      </c>
      <c r="D11" s="4" t="s">
        <v>171</v>
      </c>
      <c r="E11" s="30" t="s">
        <v>172</v>
      </c>
      <c r="F11" s="30" t="s">
        <v>171</v>
      </c>
      <c r="G11" s="2">
        <f t="shared" si="0"/>
        <v>0</v>
      </c>
      <c r="H11" s="2">
        <v>0</v>
      </c>
      <c r="I11" s="2">
        <f t="shared" si="1"/>
        <v>0</v>
      </c>
      <c r="J11" s="265"/>
      <c r="K11" s="265"/>
    </row>
    <row r="12" spans="1:11" ht="30">
      <c r="A12" s="2">
        <v>7</v>
      </c>
      <c r="B12" s="3" t="s">
        <v>178</v>
      </c>
      <c r="C12" s="4" t="s">
        <v>172</v>
      </c>
      <c r="D12" s="4" t="s">
        <v>171</v>
      </c>
      <c r="E12" s="30" t="s">
        <v>172</v>
      </c>
      <c r="F12" s="30" t="s">
        <v>172</v>
      </c>
      <c r="G12" s="2">
        <f t="shared" si="0"/>
        <v>0</v>
      </c>
      <c r="H12" s="2">
        <v>0</v>
      </c>
      <c r="I12" s="2">
        <f t="shared" si="1"/>
        <v>1</v>
      </c>
      <c r="J12" s="265"/>
      <c r="K12" s="265"/>
    </row>
    <row r="13" spans="1:11" ht="75">
      <c r="A13" s="2">
        <v>8</v>
      </c>
      <c r="B13" s="3" t="s">
        <v>179</v>
      </c>
      <c r="C13" s="4" t="s">
        <v>171</v>
      </c>
      <c r="D13" s="4" t="s">
        <v>171</v>
      </c>
      <c r="E13" s="30" t="s">
        <v>172</v>
      </c>
      <c r="F13" s="30" t="s">
        <v>172</v>
      </c>
      <c r="G13" s="2">
        <f t="shared" si="0"/>
        <v>1</v>
      </c>
      <c r="H13" s="2">
        <v>0</v>
      </c>
      <c r="I13" s="2">
        <f t="shared" si="1"/>
        <v>0</v>
      </c>
      <c r="J13" s="265"/>
      <c r="K13" s="265"/>
    </row>
    <row r="14" spans="1:11" ht="45">
      <c r="A14" s="2">
        <v>9</v>
      </c>
      <c r="B14" s="3" t="s">
        <v>180</v>
      </c>
      <c r="C14" s="4" t="s">
        <v>172</v>
      </c>
      <c r="D14" s="4" t="s">
        <v>171</v>
      </c>
      <c r="E14" s="30" t="s">
        <v>171</v>
      </c>
      <c r="F14" s="30" t="s">
        <v>171</v>
      </c>
      <c r="G14" s="2">
        <f t="shared" si="0"/>
        <v>0</v>
      </c>
      <c r="H14" s="2">
        <v>0</v>
      </c>
      <c r="I14" s="2">
        <f t="shared" si="1"/>
        <v>0</v>
      </c>
      <c r="J14" s="265"/>
      <c r="K14" s="265"/>
    </row>
    <row r="15" spans="1:11" ht="30">
      <c r="A15" s="2">
        <v>10</v>
      </c>
      <c r="B15" s="3" t="s">
        <v>181</v>
      </c>
      <c r="C15" s="4" t="s">
        <v>171</v>
      </c>
      <c r="D15" s="4" t="s">
        <v>171</v>
      </c>
      <c r="E15" s="30" t="s">
        <v>172</v>
      </c>
      <c r="F15" s="30" t="s">
        <v>172</v>
      </c>
      <c r="G15" s="2">
        <f t="shared" si="0"/>
        <v>1</v>
      </c>
      <c r="H15" s="2">
        <v>0</v>
      </c>
      <c r="I15" s="2">
        <f t="shared" si="1"/>
        <v>0</v>
      </c>
      <c r="J15" s="265"/>
      <c r="K15" s="265"/>
    </row>
    <row r="16" spans="1:11" ht="30">
      <c r="A16" s="2">
        <v>11</v>
      </c>
      <c r="B16" s="3" t="s">
        <v>182</v>
      </c>
      <c r="C16" s="4" t="s">
        <v>171</v>
      </c>
      <c r="D16" s="4" t="s">
        <v>172</v>
      </c>
      <c r="E16" s="30" t="s">
        <v>171</v>
      </c>
      <c r="F16" s="30" t="s">
        <v>171</v>
      </c>
      <c r="G16" s="2">
        <f t="shared" si="0"/>
        <v>0</v>
      </c>
      <c r="H16" s="2">
        <v>0</v>
      </c>
      <c r="I16" s="2">
        <f t="shared" si="1"/>
        <v>1</v>
      </c>
      <c r="J16" s="265"/>
      <c r="K16" s="265"/>
    </row>
    <row r="17" spans="1:11" ht="30">
      <c r="A17" s="2">
        <v>12</v>
      </c>
      <c r="B17" s="3" t="s">
        <v>183</v>
      </c>
      <c r="C17" s="4"/>
      <c r="D17" s="4" t="s">
        <v>172</v>
      </c>
      <c r="E17" s="30" t="s">
        <v>171</v>
      </c>
      <c r="F17" s="30" t="s">
        <v>171</v>
      </c>
      <c r="G17" s="2">
        <f t="shared" si="0"/>
        <v>0</v>
      </c>
      <c r="H17" s="2">
        <v>0</v>
      </c>
      <c r="I17" s="2">
        <f t="shared" si="1"/>
        <v>0</v>
      </c>
      <c r="J17" s="265"/>
      <c r="K17" s="265"/>
    </row>
    <row r="18" spans="1:11" ht="45">
      <c r="A18" s="2">
        <v>13</v>
      </c>
      <c r="B18" s="3" t="s">
        <v>184</v>
      </c>
      <c r="C18" s="4" t="s">
        <v>171</v>
      </c>
      <c r="D18" s="4" t="s">
        <v>172</v>
      </c>
      <c r="E18" s="30" t="s">
        <v>171</v>
      </c>
      <c r="F18" s="30" t="s">
        <v>172</v>
      </c>
      <c r="G18" s="2">
        <f t="shared" si="0"/>
        <v>0</v>
      </c>
      <c r="H18" s="2">
        <v>0</v>
      </c>
      <c r="I18" s="2">
        <f t="shared" si="1"/>
        <v>0</v>
      </c>
      <c r="J18" s="265"/>
      <c r="K18" s="265"/>
    </row>
    <row r="19" spans="1:11" ht="45">
      <c r="A19" s="2">
        <v>14</v>
      </c>
      <c r="B19" s="3" t="s">
        <v>185</v>
      </c>
      <c r="C19" s="4" t="s">
        <v>172</v>
      </c>
      <c r="D19" s="4" t="s">
        <v>172</v>
      </c>
      <c r="E19" s="30" t="s">
        <v>172</v>
      </c>
      <c r="F19" s="30" t="s">
        <v>172</v>
      </c>
      <c r="G19" s="2">
        <f t="shared" si="0"/>
        <v>1</v>
      </c>
      <c r="H19" s="2">
        <v>0</v>
      </c>
      <c r="I19" s="2">
        <f t="shared" si="1"/>
        <v>1</v>
      </c>
      <c r="J19" s="265"/>
      <c r="K19" s="265"/>
    </row>
    <row r="20" spans="1:11" ht="45">
      <c r="A20" s="2">
        <v>15</v>
      </c>
      <c r="B20" s="3" t="s">
        <v>186</v>
      </c>
      <c r="C20" s="4" t="s">
        <v>171</v>
      </c>
      <c r="D20" s="4" t="s">
        <v>172</v>
      </c>
      <c r="E20" s="30" t="s">
        <v>172</v>
      </c>
      <c r="F20" s="30" t="s">
        <v>172</v>
      </c>
      <c r="G20" s="2">
        <f t="shared" si="0"/>
        <v>0</v>
      </c>
      <c r="H20" s="2">
        <v>0</v>
      </c>
      <c r="I20" s="2">
        <f t="shared" si="1"/>
        <v>0</v>
      </c>
      <c r="J20" s="265"/>
      <c r="K20" s="265"/>
    </row>
    <row r="21" spans="1:11" ht="45">
      <c r="A21" s="2">
        <v>16</v>
      </c>
      <c r="B21" s="3" t="s">
        <v>187</v>
      </c>
      <c r="C21" s="4" t="s">
        <v>171</v>
      </c>
      <c r="D21" s="4" t="s">
        <v>171</v>
      </c>
      <c r="E21" s="30" t="s">
        <v>171</v>
      </c>
      <c r="F21" s="30" t="s">
        <v>171</v>
      </c>
      <c r="G21" s="2">
        <f t="shared" si="0"/>
        <v>1</v>
      </c>
      <c r="H21" s="2">
        <v>0</v>
      </c>
      <c r="I21" s="2">
        <f t="shared" si="1"/>
        <v>1</v>
      </c>
      <c r="J21" s="265"/>
      <c r="K21" s="265"/>
    </row>
    <row r="22" spans="1:11" ht="30">
      <c r="A22" s="2">
        <v>17</v>
      </c>
      <c r="B22" s="3" t="s">
        <v>188</v>
      </c>
      <c r="C22" s="4" t="s">
        <v>171</v>
      </c>
      <c r="D22" s="4" t="s">
        <v>171</v>
      </c>
      <c r="E22" s="30" t="s">
        <v>171</v>
      </c>
      <c r="F22" s="30" t="s">
        <v>171</v>
      </c>
      <c r="G22" s="2">
        <f t="shared" si="0"/>
        <v>1</v>
      </c>
      <c r="H22" s="2">
        <v>0</v>
      </c>
      <c r="I22" s="2">
        <f t="shared" si="1"/>
        <v>1</v>
      </c>
      <c r="J22" s="265"/>
      <c r="K22" s="265"/>
    </row>
    <row r="23" spans="1:11" ht="45">
      <c r="A23" s="2">
        <v>18</v>
      </c>
      <c r="B23" s="3" t="s">
        <v>189</v>
      </c>
      <c r="C23" s="4" t="s">
        <v>172</v>
      </c>
      <c r="D23" s="4" t="s">
        <v>171</v>
      </c>
      <c r="E23" s="30" t="s">
        <v>172</v>
      </c>
      <c r="F23" s="30" t="s">
        <v>172</v>
      </c>
      <c r="G23" s="2">
        <f t="shared" si="0"/>
        <v>0</v>
      </c>
      <c r="H23" s="2">
        <v>0</v>
      </c>
      <c r="I23" s="2">
        <f t="shared" si="1"/>
        <v>1</v>
      </c>
      <c r="J23" s="265"/>
      <c r="K23" s="265"/>
    </row>
    <row r="24" spans="1:11" ht="30">
      <c r="A24" s="2">
        <v>19</v>
      </c>
      <c r="B24" s="3" t="s">
        <v>190</v>
      </c>
      <c r="C24" s="4" t="s">
        <v>172</v>
      </c>
      <c r="D24" s="4" t="s">
        <v>171</v>
      </c>
      <c r="E24" s="30" t="s">
        <v>172</v>
      </c>
      <c r="F24" s="30" t="s">
        <v>171</v>
      </c>
      <c r="G24" s="2">
        <f t="shared" si="0"/>
        <v>0</v>
      </c>
      <c r="H24" s="2">
        <v>0</v>
      </c>
      <c r="I24" s="2">
        <f t="shared" si="1"/>
        <v>0</v>
      </c>
      <c r="J24" s="265"/>
      <c r="K24" s="265"/>
    </row>
    <row r="25" spans="1:11" ht="45">
      <c r="A25" s="2">
        <v>20</v>
      </c>
      <c r="B25" s="3" t="s">
        <v>191</v>
      </c>
      <c r="C25" s="4" t="s">
        <v>172</v>
      </c>
      <c r="D25" s="4" t="s">
        <v>171</v>
      </c>
      <c r="E25" s="30" t="s">
        <v>171</v>
      </c>
      <c r="F25" s="30" t="s">
        <v>172</v>
      </c>
      <c r="G25" s="2">
        <f t="shared" si="0"/>
        <v>0</v>
      </c>
      <c r="H25" s="2">
        <v>0</v>
      </c>
      <c r="I25" s="2">
        <f t="shared" si="1"/>
        <v>1</v>
      </c>
      <c r="J25" s="265"/>
      <c r="K25" s="265"/>
    </row>
    <row r="26" spans="1:11" ht="30">
      <c r="A26" s="2">
        <v>21</v>
      </c>
      <c r="B26" s="3" t="s">
        <v>192</v>
      </c>
      <c r="C26" s="4" t="s">
        <v>171</v>
      </c>
      <c r="D26" s="4" t="s">
        <v>172</v>
      </c>
      <c r="E26" s="30" t="s">
        <v>172</v>
      </c>
      <c r="F26" s="30" t="s">
        <v>171</v>
      </c>
      <c r="G26" s="2">
        <f t="shared" si="0"/>
        <v>0</v>
      </c>
      <c r="H26" s="2">
        <v>0</v>
      </c>
      <c r="I26" s="2">
        <f t="shared" si="1"/>
        <v>1</v>
      </c>
      <c r="J26" s="265"/>
      <c r="K26" s="265"/>
    </row>
    <row r="27" spans="1:11">
      <c r="A27" s="2">
        <v>22</v>
      </c>
      <c r="B27" s="3" t="s">
        <v>193</v>
      </c>
      <c r="C27" s="4"/>
      <c r="D27" s="4" t="s">
        <v>172</v>
      </c>
      <c r="E27" s="30" t="s">
        <v>172</v>
      </c>
      <c r="F27" s="30" t="s">
        <v>172</v>
      </c>
      <c r="G27" s="2">
        <f t="shared" si="0"/>
        <v>0</v>
      </c>
      <c r="H27" s="2">
        <v>0</v>
      </c>
      <c r="I27" s="2">
        <f t="shared" si="1"/>
        <v>0</v>
      </c>
      <c r="J27" s="265"/>
      <c r="K27" s="265"/>
    </row>
    <row r="28" spans="1:11" ht="30">
      <c r="A28" s="2">
        <v>23</v>
      </c>
      <c r="B28" s="3" t="s">
        <v>194</v>
      </c>
      <c r="C28" s="4" t="s">
        <v>171</v>
      </c>
      <c r="D28" s="4" t="s">
        <v>172</v>
      </c>
      <c r="E28" s="30" t="s">
        <v>172</v>
      </c>
      <c r="F28" s="30" t="s">
        <v>172</v>
      </c>
      <c r="G28" s="2">
        <f t="shared" si="0"/>
        <v>0</v>
      </c>
      <c r="H28" s="2">
        <v>0</v>
      </c>
      <c r="I28" s="2">
        <f t="shared" si="1"/>
        <v>0</v>
      </c>
      <c r="J28" s="265"/>
      <c r="K28" s="265"/>
    </row>
    <row r="29" spans="1:11" ht="45">
      <c r="A29" s="2">
        <v>24</v>
      </c>
      <c r="B29" s="3" t="s">
        <v>195</v>
      </c>
      <c r="C29" s="4" t="s">
        <v>171</v>
      </c>
      <c r="D29" s="4" t="s">
        <v>172</v>
      </c>
      <c r="E29" s="30" t="s">
        <v>171</v>
      </c>
      <c r="F29" s="30" t="s">
        <v>172</v>
      </c>
      <c r="G29" s="2">
        <f t="shared" si="0"/>
        <v>0</v>
      </c>
      <c r="H29" s="2">
        <v>0</v>
      </c>
      <c r="I29" s="2">
        <f t="shared" si="1"/>
        <v>0</v>
      </c>
      <c r="J29" s="265"/>
      <c r="K29" s="265"/>
    </row>
    <row r="30" spans="1:11" ht="45">
      <c r="A30" s="2">
        <v>25</v>
      </c>
      <c r="B30" s="3" t="s">
        <v>196</v>
      </c>
      <c r="C30" s="4" t="s">
        <v>172</v>
      </c>
      <c r="D30" s="4" t="s">
        <v>172</v>
      </c>
      <c r="E30" s="30" t="s">
        <v>171</v>
      </c>
      <c r="F30" s="30" t="s">
        <v>171</v>
      </c>
      <c r="G30" s="2">
        <f t="shared" si="0"/>
        <v>1</v>
      </c>
      <c r="H30" s="2">
        <v>0</v>
      </c>
      <c r="I30" s="2">
        <f t="shared" si="1"/>
        <v>0</v>
      </c>
      <c r="J30" s="265"/>
      <c r="K30" s="265"/>
    </row>
    <row r="31" spans="1:11" ht="30">
      <c r="A31" s="2">
        <v>26</v>
      </c>
      <c r="B31" s="3" t="s">
        <v>197</v>
      </c>
      <c r="C31" s="4"/>
      <c r="D31" s="4" t="s">
        <v>171</v>
      </c>
      <c r="E31" s="30" t="s">
        <v>171</v>
      </c>
      <c r="F31" s="30" t="s">
        <v>172</v>
      </c>
      <c r="G31" s="2">
        <f t="shared" si="0"/>
        <v>0</v>
      </c>
      <c r="H31" s="2">
        <v>0</v>
      </c>
      <c r="I31" s="2">
        <f t="shared" si="1"/>
        <v>0</v>
      </c>
      <c r="J31" s="265"/>
      <c r="K31" s="265"/>
    </row>
    <row r="32" spans="1:11" ht="30">
      <c r="A32" s="2">
        <v>27</v>
      </c>
      <c r="B32" s="31" t="s">
        <v>198</v>
      </c>
      <c r="C32" s="4" t="s">
        <v>171</v>
      </c>
      <c r="D32" s="4" t="s">
        <v>171</v>
      </c>
      <c r="E32" s="30" t="s">
        <v>171</v>
      </c>
      <c r="F32" s="30" t="s">
        <v>172</v>
      </c>
      <c r="G32" s="2">
        <f t="shared" si="0"/>
        <v>1</v>
      </c>
      <c r="H32" s="2">
        <v>0</v>
      </c>
      <c r="I32" s="2">
        <f t="shared" si="1"/>
        <v>0</v>
      </c>
      <c r="J32" s="265"/>
      <c r="K32" s="265"/>
    </row>
    <row r="33" spans="1:11" ht="30">
      <c r="A33" s="2">
        <v>28</v>
      </c>
      <c r="B33" s="3" t="s">
        <v>199</v>
      </c>
      <c r="C33" s="4" t="s">
        <v>172</v>
      </c>
      <c r="D33" s="4" t="s">
        <v>171</v>
      </c>
      <c r="E33" s="30" t="s">
        <v>172</v>
      </c>
      <c r="F33" s="30" t="s">
        <v>171</v>
      </c>
      <c r="G33" s="2">
        <f t="shared" si="0"/>
        <v>0</v>
      </c>
      <c r="H33" s="2">
        <v>0</v>
      </c>
      <c r="I33" s="2">
        <f t="shared" si="1"/>
        <v>0</v>
      </c>
      <c r="J33" s="265"/>
      <c r="K33" s="265"/>
    </row>
    <row r="34" spans="1:11" ht="45">
      <c r="A34" s="2">
        <v>29</v>
      </c>
      <c r="B34" s="3" t="s">
        <v>200</v>
      </c>
      <c r="C34" s="4" t="s">
        <v>172</v>
      </c>
      <c r="D34" s="4" t="s">
        <v>171</v>
      </c>
      <c r="E34" s="30" t="s">
        <v>172</v>
      </c>
      <c r="F34" s="30" t="s">
        <v>172</v>
      </c>
      <c r="G34" s="2">
        <f t="shared" si="0"/>
        <v>0</v>
      </c>
      <c r="H34" s="2">
        <v>0</v>
      </c>
      <c r="I34" s="2">
        <f t="shared" si="1"/>
        <v>1</v>
      </c>
      <c r="J34" s="265"/>
      <c r="K34" s="265"/>
    </row>
    <row r="35" spans="1:11" ht="45">
      <c r="A35" s="2">
        <v>30</v>
      </c>
      <c r="B35" s="3" t="s">
        <v>201</v>
      </c>
      <c r="C35" s="4" t="s">
        <v>172</v>
      </c>
      <c r="D35" s="4" t="s">
        <v>171</v>
      </c>
      <c r="E35" s="30" t="s">
        <v>171</v>
      </c>
      <c r="F35" s="30" t="s">
        <v>172</v>
      </c>
      <c r="G35" s="2">
        <f t="shared" si="0"/>
        <v>0</v>
      </c>
      <c r="H35" s="2">
        <v>0</v>
      </c>
      <c r="I35" s="2">
        <f t="shared" si="1"/>
        <v>1</v>
      </c>
      <c r="J35" s="265"/>
      <c r="K35" s="265"/>
    </row>
    <row r="36" spans="1:11" ht="60">
      <c r="A36" s="2">
        <v>31</v>
      </c>
      <c r="B36" s="3" t="s">
        <v>202</v>
      </c>
      <c r="C36" s="4" t="s">
        <v>171</v>
      </c>
      <c r="D36" s="4" t="s">
        <v>172</v>
      </c>
      <c r="E36" s="30" t="s">
        <v>172</v>
      </c>
      <c r="F36" s="30" t="s">
        <v>171</v>
      </c>
      <c r="G36" s="2">
        <f t="shared" si="0"/>
        <v>0</v>
      </c>
      <c r="H36" s="2">
        <v>0</v>
      </c>
      <c r="I36" s="2">
        <f t="shared" si="1"/>
        <v>1</v>
      </c>
      <c r="J36" s="265"/>
      <c r="K36" s="265"/>
    </row>
    <row r="37" spans="1:11" ht="60">
      <c r="A37" s="2">
        <v>32</v>
      </c>
      <c r="B37" s="3" t="s">
        <v>203</v>
      </c>
      <c r="C37" s="4" t="s">
        <v>172</v>
      </c>
      <c r="D37" s="4" t="s">
        <v>172</v>
      </c>
      <c r="E37" s="30" t="s">
        <v>171</v>
      </c>
      <c r="F37" s="30" t="s">
        <v>171</v>
      </c>
      <c r="G37" s="2">
        <f t="shared" si="0"/>
        <v>1</v>
      </c>
      <c r="H37" s="2">
        <v>0</v>
      </c>
      <c r="I37" s="2">
        <f t="shared" si="1"/>
        <v>0</v>
      </c>
      <c r="J37" s="265"/>
      <c r="K37" s="265"/>
    </row>
    <row r="38" spans="1:11" ht="30">
      <c r="A38" s="2">
        <v>33</v>
      </c>
      <c r="B38" s="3" t="s">
        <v>204</v>
      </c>
      <c r="C38" s="4"/>
      <c r="D38" s="4" t="s">
        <v>172</v>
      </c>
      <c r="E38" s="30" t="s">
        <v>171</v>
      </c>
      <c r="F38" s="30" t="s">
        <v>172</v>
      </c>
      <c r="G38" s="2">
        <f t="shared" si="0"/>
        <v>0</v>
      </c>
      <c r="H38" s="2">
        <v>0</v>
      </c>
      <c r="I38" s="2">
        <f t="shared" si="1"/>
        <v>0</v>
      </c>
      <c r="J38" s="265"/>
      <c r="K38" s="265"/>
    </row>
    <row r="39" spans="1:11" ht="60">
      <c r="A39" s="2">
        <v>34</v>
      </c>
      <c r="B39" s="3" t="s">
        <v>205</v>
      </c>
      <c r="C39" s="4" t="s">
        <v>172</v>
      </c>
      <c r="D39" s="4" t="s">
        <v>172</v>
      </c>
      <c r="E39" s="30" t="s">
        <v>171</v>
      </c>
      <c r="F39" s="30" t="s">
        <v>171</v>
      </c>
      <c r="G39" s="2">
        <f t="shared" si="0"/>
        <v>1</v>
      </c>
      <c r="H39" s="2">
        <v>0</v>
      </c>
      <c r="I39" s="2">
        <f t="shared" si="1"/>
        <v>0</v>
      </c>
      <c r="J39" s="265"/>
      <c r="K39" s="265"/>
    </row>
    <row r="40" spans="1:11" ht="45">
      <c r="A40" s="2">
        <v>35</v>
      </c>
      <c r="B40" s="3" t="s">
        <v>206</v>
      </c>
      <c r="C40" s="4" t="s">
        <v>171</v>
      </c>
      <c r="D40" s="4" t="s">
        <v>172</v>
      </c>
      <c r="E40" s="30" t="s">
        <v>171</v>
      </c>
      <c r="F40" s="30" t="s">
        <v>172</v>
      </c>
      <c r="G40" s="2">
        <f t="shared" si="0"/>
        <v>0</v>
      </c>
      <c r="H40" s="2">
        <v>0</v>
      </c>
      <c r="I40" s="2">
        <f t="shared" si="1"/>
        <v>0</v>
      </c>
      <c r="J40" s="265"/>
      <c r="K40" s="265"/>
    </row>
    <row r="41" spans="1:11" ht="75">
      <c r="A41" s="2">
        <v>36</v>
      </c>
      <c r="B41" s="3" t="s">
        <v>207</v>
      </c>
      <c r="C41" s="4" t="s">
        <v>172</v>
      </c>
      <c r="D41" s="4" t="s">
        <v>171</v>
      </c>
      <c r="E41" s="30" t="s">
        <v>172</v>
      </c>
      <c r="F41" s="30" t="s">
        <v>171</v>
      </c>
      <c r="G41" s="2">
        <f t="shared" si="0"/>
        <v>0</v>
      </c>
      <c r="H41" s="2">
        <v>0</v>
      </c>
      <c r="I41" s="2">
        <f t="shared" si="1"/>
        <v>0</v>
      </c>
      <c r="J41" s="265"/>
      <c r="K41" s="265"/>
    </row>
    <row r="42" spans="1:11" ht="30">
      <c r="A42" s="2">
        <v>37</v>
      </c>
      <c r="B42" s="3" t="s">
        <v>208</v>
      </c>
      <c r="C42" s="4" t="s">
        <v>172</v>
      </c>
      <c r="D42" s="4" t="s">
        <v>171</v>
      </c>
      <c r="E42" s="30" t="s">
        <v>171</v>
      </c>
      <c r="F42" s="30" t="s">
        <v>172</v>
      </c>
      <c r="G42" s="2">
        <f t="shared" si="0"/>
        <v>0</v>
      </c>
      <c r="H42" s="2">
        <v>0</v>
      </c>
      <c r="I42" s="2">
        <f t="shared" si="1"/>
        <v>1</v>
      </c>
      <c r="J42" s="265"/>
      <c r="K42" s="265"/>
    </row>
    <row r="43" spans="1:11" ht="45">
      <c r="A43" s="2">
        <v>38</v>
      </c>
      <c r="B43" s="3" t="s">
        <v>209</v>
      </c>
      <c r="C43" s="4"/>
      <c r="D43" s="4" t="s">
        <v>171</v>
      </c>
      <c r="E43" s="30" t="s">
        <v>172</v>
      </c>
      <c r="F43" s="30" t="s">
        <v>171</v>
      </c>
      <c r="G43" s="2">
        <f t="shared" si="0"/>
        <v>0</v>
      </c>
      <c r="H43" s="2">
        <v>0</v>
      </c>
      <c r="I43" s="2">
        <f t="shared" si="1"/>
        <v>0</v>
      </c>
      <c r="J43" s="266"/>
      <c r="K43" s="266"/>
    </row>
    <row r="44" spans="1:11">
      <c r="G44" s="65" t="str">
        <f>IF(SUM(G6:G43)&gt;=15,"likely ASD","Doesn’t indicate ASD")</f>
        <v>Doesn’t indicate ASD</v>
      </c>
    </row>
  </sheetData>
  <mergeCells count="3">
    <mergeCell ref="A1:K1"/>
    <mergeCell ref="J6:J43"/>
    <mergeCell ref="K6:K43"/>
  </mergeCells>
  <dataValidations count="2">
    <dataValidation type="list" allowBlank="1" showInputMessage="1" showErrorMessage="1" sqref="E6:F43" xr:uid="{109C3FD3-CC9A-423E-A09B-A092F1EA845F}">
      <formula1>$D$6:$D$8</formula1>
    </dataValidation>
    <dataValidation type="list" allowBlank="1" showInputMessage="1" showErrorMessage="1" sqref="D6:D20 D25:D43" xr:uid="{BB0DF8BF-4BFA-4B02-B038-7362CA0738D1}">
      <formula1>"YES,NO"</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108AF-863A-44FE-A2F5-9ED1B1D7E0F5}">
  <sheetPr codeName="Sheet9"/>
  <dimension ref="A1:I63"/>
  <sheetViews>
    <sheetView topLeftCell="E15" workbookViewId="0">
      <selection activeCell="E15" sqref="E15"/>
    </sheetView>
  </sheetViews>
  <sheetFormatPr defaultRowHeight="15"/>
  <cols>
    <col min="1" max="1" width="8.7109375" style="23" customWidth="1"/>
    <col min="2" max="3" width="37.85546875" customWidth="1"/>
    <col min="4" max="4" width="20" customWidth="1"/>
    <col min="5" max="5" width="25.5703125" customWidth="1"/>
    <col min="6" max="6" width="19.28515625" customWidth="1"/>
    <col min="7" max="7" width="32" customWidth="1"/>
    <col min="8" max="8" width="4.7109375" customWidth="1"/>
    <col min="9" max="9" width="9.140625" style="5"/>
    <col min="10" max="10" width="23.140625" customWidth="1"/>
  </cols>
  <sheetData>
    <row r="1" spans="1:9">
      <c r="A1" s="267" t="s">
        <v>210</v>
      </c>
      <c r="B1" s="267"/>
      <c r="C1" s="267"/>
      <c r="D1" s="267"/>
      <c r="E1" s="267"/>
      <c r="F1" s="267"/>
    </row>
    <row r="2" spans="1:9">
      <c r="A2" s="35"/>
    </row>
    <row r="4" spans="1:9">
      <c r="A4" s="36"/>
    </row>
    <row r="5" spans="1:9" ht="15" customHeight="1">
      <c r="A5" s="37" t="s">
        <v>211</v>
      </c>
      <c r="B5" s="40" t="s">
        <v>2</v>
      </c>
      <c r="C5" s="40"/>
      <c r="D5" s="41" t="s">
        <v>212</v>
      </c>
      <c r="E5" s="41" t="s">
        <v>213</v>
      </c>
      <c r="F5" s="41" t="s">
        <v>214</v>
      </c>
      <c r="G5" s="41" t="s">
        <v>215</v>
      </c>
      <c r="H5" s="40" t="s">
        <v>216</v>
      </c>
      <c r="I5" s="41" t="s">
        <v>7</v>
      </c>
    </row>
    <row r="6" spans="1:9" ht="15" customHeight="1">
      <c r="A6" s="37"/>
      <c r="B6" s="40" t="s">
        <v>217</v>
      </c>
      <c r="C6" s="45" t="s">
        <v>217</v>
      </c>
      <c r="D6" s="41"/>
      <c r="E6" s="41"/>
      <c r="F6" s="41"/>
      <c r="G6" s="41"/>
      <c r="H6" s="40"/>
      <c r="I6" s="41"/>
    </row>
    <row r="7" spans="1:9">
      <c r="A7" s="38">
        <v>1</v>
      </c>
      <c r="B7" s="3" t="s">
        <v>218</v>
      </c>
      <c r="C7" s="30" t="s">
        <v>219</v>
      </c>
      <c r="D7" s="4">
        <v>1</v>
      </c>
      <c r="E7" s="3"/>
      <c r="F7" s="2"/>
      <c r="G7" s="2"/>
      <c r="H7" s="2"/>
      <c r="I7" s="4">
        <v>1</v>
      </c>
    </row>
    <row r="8" spans="1:9">
      <c r="A8" s="38">
        <v>2</v>
      </c>
      <c r="B8" s="3" t="s">
        <v>220</v>
      </c>
      <c r="C8" s="30" t="s">
        <v>221</v>
      </c>
      <c r="D8" s="4">
        <v>2</v>
      </c>
      <c r="E8" s="3"/>
      <c r="F8" s="3"/>
      <c r="G8" s="2"/>
      <c r="H8" s="2"/>
      <c r="I8" s="4">
        <v>2</v>
      </c>
    </row>
    <row r="9" spans="1:9" ht="30">
      <c r="A9" s="38">
        <v>3</v>
      </c>
      <c r="B9" s="3" t="s">
        <v>222</v>
      </c>
      <c r="C9" s="30" t="s">
        <v>223</v>
      </c>
      <c r="D9" s="4">
        <v>0</v>
      </c>
      <c r="E9" s="2"/>
      <c r="F9" s="2"/>
      <c r="G9" s="2"/>
      <c r="H9" s="2"/>
      <c r="I9" s="4">
        <v>0</v>
      </c>
    </row>
    <row r="10" spans="1:9" ht="30">
      <c r="A10" s="38">
        <v>4</v>
      </c>
      <c r="B10" s="3" t="s">
        <v>224</v>
      </c>
      <c r="C10" s="30" t="s">
        <v>225</v>
      </c>
      <c r="D10" s="4">
        <v>2</v>
      </c>
      <c r="E10" s="3"/>
      <c r="F10" s="3"/>
      <c r="G10" s="2"/>
      <c r="H10" s="2"/>
      <c r="I10" s="4">
        <v>2</v>
      </c>
    </row>
    <row r="11" spans="1:9" ht="30">
      <c r="A11" s="38">
        <v>5</v>
      </c>
      <c r="B11" s="3" t="s">
        <v>226</v>
      </c>
      <c r="C11" s="30" t="s">
        <v>227</v>
      </c>
      <c r="D11" s="4">
        <v>2</v>
      </c>
      <c r="E11" s="3"/>
      <c r="F11" s="3"/>
      <c r="G11" s="2"/>
      <c r="H11" s="2"/>
      <c r="I11" s="4">
        <v>2</v>
      </c>
    </row>
    <row r="12" spans="1:9" ht="30">
      <c r="A12" s="38">
        <v>6</v>
      </c>
      <c r="B12" s="3" t="s">
        <v>228</v>
      </c>
      <c r="C12" s="30" t="s">
        <v>229</v>
      </c>
      <c r="D12" s="4">
        <v>3</v>
      </c>
      <c r="E12" s="3"/>
      <c r="F12" s="3"/>
      <c r="G12" s="3"/>
      <c r="H12" s="2"/>
      <c r="I12" s="4">
        <v>3</v>
      </c>
    </row>
    <row r="13" spans="1:9" ht="30">
      <c r="A13" s="38">
        <v>7</v>
      </c>
      <c r="B13" s="3" t="s">
        <v>230</v>
      </c>
      <c r="C13" s="30" t="s">
        <v>231</v>
      </c>
      <c r="D13" s="4">
        <v>0</v>
      </c>
      <c r="E13" s="2"/>
      <c r="F13" s="2"/>
      <c r="G13" s="2"/>
      <c r="H13" s="2"/>
      <c r="I13" s="4">
        <v>0</v>
      </c>
    </row>
    <row r="14" spans="1:9" ht="30">
      <c r="A14" s="38">
        <v>8</v>
      </c>
      <c r="B14" s="3" t="s">
        <v>232</v>
      </c>
      <c r="C14" s="30" t="s">
        <v>233</v>
      </c>
      <c r="D14" s="4">
        <v>2</v>
      </c>
      <c r="E14" s="3"/>
      <c r="F14" s="3"/>
      <c r="G14" s="3"/>
      <c r="H14" s="2"/>
      <c r="I14" s="4">
        <v>3</v>
      </c>
    </row>
    <row r="15" spans="1:9" ht="30">
      <c r="A15" s="38">
        <v>9</v>
      </c>
      <c r="B15" s="3" t="s">
        <v>234</v>
      </c>
      <c r="C15" s="30" t="s">
        <v>235</v>
      </c>
      <c r="D15" s="4">
        <v>2</v>
      </c>
      <c r="E15" s="3"/>
      <c r="F15" s="3"/>
      <c r="G15" s="2"/>
      <c r="H15" s="2"/>
      <c r="I15" s="4">
        <v>2</v>
      </c>
    </row>
    <row r="16" spans="1:9" ht="30">
      <c r="A16" s="38">
        <v>10</v>
      </c>
      <c r="B16" s="3" t="s">
        <v>236</v>
      </c>
      <c r="C16" s="30" t="s">
        <v>222</v>
      </c>
      <c r="D16" s="4" t="s">
        <v>237</v>
      </c>
      <c r="E16" s="3"/>
      <c r="F16" s="3"/>
      <c r="G16" s="3"/>
      <c r="H16" s="3"/>
      <c r="I16" s="4"/>
    </row>
    <row r="17" spans="1:9" ht="30">
      <c r="A17" s="38">
        <v>11</v>
      </c>
      <c r="B17" s="3" t="s">
        <v>238</v>
      </c>
      <c r="C17" s="45" t="s">
        <v>239</v>
      </c>
      <c r="D17" s="4">
        <v>1</v>
      </c>
      <c r="E17" s="3"/>
      <c r="F17" s="2"/>
      <c r="G17" s="2"/>
      <c r="H17" s="2"/>
      <c r="I17" s="4">
        <v>1</v>
      </c>
    </row>
    <row r="18" spans="1:9" ht="30">
      <c r="A18" s="38">
        <v>12</v>
      </c>
      <c r="B18" s="3" t="s">
        <v>240</v>
      </c>
      <c r="C18" s="45" t="s">
        <v>241</v>
      </c>
      <c r="D18" s="4">
        <v>0</v>
      </c>
      <c r="E18" s="2"/>
      <c r="F18" s="2"/>
      <c r="G18" s="2"/>
      <c r="H18" s="2"/>
      <c r="I18" s="4">
        <v>0</v>
      </c>
    </row>
    <row r="19" spans="1:9" ht="30">
      <c r="A19" s="38">
        <v>13</v>
      </c>
      <c r="B19" s="3" t="s">
        <v>242</v>
      </c>
      <c r="C19" s="30" t="s">
        <v>243</v>
      </c>
      <c r="D19" s="4" t="s">
        <v>237</v>
      </c>
      <c r="E19" s="3"/>
      <c r="F19" s="3"/>
      <c r="G19" s="3"/>
      <c r="H19" s="3"/>
      <c r="I19" s="4"/>
    </row>
    <row r="20" spans="1:9">
      <c r="A20" s="38">
        <v>14</v>
      </c>
      <c r="B20" s="3" t="s">
        <v>244</v>
      </c>
      <c r="C20" s="30" t="s">
        <v>245</v>
      </c>
      <c r="D20" s="4">
        <v>3</v>
      </c>
      <c r="E20" s="3"/>
      <c r="F20" s="3"/>
      <c r="G20" s="3"/>
      <c r="H20" s="2"/>
      <c r="I20" s="4">
        <v>3</v>
      </c>
    </row>
    <row r="21" spans="1:9" ht="30">
      <c r="A21" s="38">
        <v>15</v>
      </c>
      <c r="B21" s="3" t="s">
        <v>246</v>
      </c>
      <c r="C21" s="30" t="s">
        <v>247</v>
      </c>
      <c r="D21" s="4">
        <v>1</v>
      </c>
      <c r="E21" s="3"/>
      <c r="F21" s="2"/>
      <c r="G21" s="2"/>
      <c r="H21" s="2"/>
      <c r="I21" s="4">
        <v>1</v>
      </c>
    </row>
    <row r="22" spans="1:9" ht="30">
      <c r="A22" s="38">
        <v>16</v>
      </c>
      <c r="B22" s="3" t="s">
        <v>248</v>
      </c>
      <c r="C22" s="30" t="s">
        <v>249</v>
      </c>
      <c r="D22" s="4">
        <v>2</v>
      </c>
      <c r="E22" s="3"/>
      <c r="F22" s="3"/>
      <c r="G22" s="2"/>
      <c r="H22" s="2"/>
      <c r="I22" s="4">
        <v>2</v>
      </c>
    </row>
    <row r="23" spans="1:9">
      <c r="A23" s="38">
        <v>17</v>
      </c>
      <c r="B23" s="3" t="s">
        <v>250</v>
      </c>
      <c r="C23" s="46" t="s">
        <v>251</v>
      </c>
      <c r="D23" s="4">
        <v>3</v>
      </c>
      <c r="E23" s="3"/>
      <c r="F23" s="3"/>
      <c r="G23" s="3"/>
      <c r="H23" s="2"/>
      <c r="I23" s="4">
        <v>3</v>
      </c>
    </row>
    <row r="24" spans="1:9" ht="30">
      <c r="A24" s="38">
        <v>18</v>
      </c>
      <c r="B24" s="3" t="s">
        <v>252</v>
      </c>
      <c r="C24" s="30" t="s">
        <v>253</v>
      </c>
      <c r="D24" s="4" t="s">
        <v>237</v>
      </c>
      <c r="E24" s="3"/>
      <c r="F24" s="3"/>
      <c r="G24" s="3"/>
      <c r="H24" s="3"/>
      <c r="I24" s="4"/>
    </row>
    <row r="25" spans="1:9" ht="30">
      <c r="A25" s="38">
        <v>19</v>
      </c>
      <c r="B25" s="3" t="s">
        <v>254</v>
      </c>
      <c r="C25" s="30" t="s">
        <v>255</v>
      </c>
      <c r="D25" s="4">
        <v>0</v>
      </c>
      <c r="E25" s="2"/>
      <c r="F25" s="2"/>
      <c r="G25" s="2"/>
      <c r="H25" s="2"/>
      <c r="I25" s="4">
        <v>0</v>
      </c>
    </row>
    <row r="26" spans="1:9">
      <c r="A26" s="38">
        <v>20</v>
      </c>
      <c r="B26" s="3" t="s">
        <v>256</v>
      </c>
      <c r="C26" s="30" t="s">
        <v>257</v>
      </c>
      <c r="D26" s="4">
        <v>3</v>
      </c>
      <c r="E26" s="3"/>
      <c r="F26" s="3"/>
      <c r="G26" s="3"/>
      <c r="H26" s="2"/>
      <c r="I26" s="4">
        <v>3</v>
      </c>
    </row>
    <row r="27" spans="1:9" ht="30">
      <c r="A27" s="38">
        <v>21</v>
      </c>
      <c r="B27" s="3" t="s">
        <v>258</v>
      </c>
      <c r="C27" s="30" t="s">
        <v>259</v>
      </c>
      <c r="D27" s="4">
        <v>1</v>
      </c>
      <c r="E27" s="3"/>
      <c r="F27" s="2"/>
      <c r="G27" s="2"/>
      <c r="H27" s="2"/>
      <c r="I27" s="4">
        <v>1</v>
      </c>
    </row>
    <row r="28" spans="1:9">
      <c r="A28" s="38">
        <v>22</v>
      </c>
      <c r="B28" s="3" t="s">
        <v>260</v>
      </c>
      <c r="C28" s="30" t="s">
        <v>261</v>
      </c>
      <c r="D28" s="4">
        <v>1</v>
      </c>
      <c r="E28" s="3"/>
      <c r="F28" s="2"/>
      <c r="G28" s="2"/>
      <c r="H28" s="2"/>
      <c r="I28" s="4">
        <v>1</v>
      </c>
    </row>
    <row r="29" spans="1:9">
      <c r="A29" s="38">
        <v>23</v>
      </c>
      <c r="B29" s="3" t="s">
        <v>262</v>
      </c>
      <c r="C29" s="30" t="s">
        <v>263</v>
      </c>
      <c r="D29" s="4">
        <v>0</v>
      </c>
      <c r="E29" s="2"/>
      <c r="F29" s="2"/>
      <c r="G29" s="2"/>
      <c r="H29" s="2"/>
      <c r="I29" s="4">
        <v>0</v>
      </c>
    </row>
    <row r="30" spans="1:9" ht="30">
      <c r="A30" s="38">
        <v>24</v>
      </c>
      <c r="B30" s="3" t="s">
        <v>264</v>
      </c>
      <c r="C30" s="45" t="s">
        <v>265</v>
      </c>
      <c r="D30" s="4">
        <v>1</v>
      </c>
      <c r="E30" s="3"/>
      <c r="F30" s="2"/>
      <c r="G30" s="2"/>
      <c r="H30" s="2"/>
      <c r="I30" s="4">
        <v>1</v>
      </c>
    </row>
    <row r="31" spans="1:9" ht="30">
      <c r="A31" s="38">
        <v>25</v>
      </c>
      <c r="B31" s="3" t="s">
        <v>266</v>
      </c>
      <c r="C31" s="30" t="s">
        <v>267</v>
      </c>
      <c r="D31" s="4">
        <v>0</v>
      </c>
      <c r="E31" s="2"/>
      <c r="F31" s="2"/>
      <c r="G31" s="2"/>
      <c r="H31" s="2"/>
      <c r="I31" s="4">
        <v>0</v>
      </c>
    </row>
    <row r="32" spans="1:9" ht="30">
      <c r="A32" s="38">
        <v>26</v>
      </c>
      <c r="B32" s="3" t="s">
        <v>268</v>
      </c>
      <c r="C32" s="30" t="s">
        <v>269</v>
      </c>
      <c r="D32" s="4">
        <v>2</v>
      </c>
      <c r="E32" s="3"/>
      <c r="F32" s="3"/>
      <c r="G32" s="2"/>
      <c r="H32" s="2"/>
      <c r="I32" s="4">
        <v>2</v>
      </c>
    </row>
    <row r="33" spans="1:9" ht="30">
      <c r="A33" s="38">
        <v>27</v>
      </c>
      <c r="B33" s="3" t="s">
        <v>270</v>
      </c>
      <c r="C33" s="30" t="s">
        <v>271</v>
      </c>
      <c r="D33" s="4">
        <v>3</v>
      </c>
      <c r="E33" s="3"/>
      <c r="F33" s="3"/>
      <c r="G33" s="3"/>
      <c r="H33" s="2"/>
      <c r="I33" s="4">
        <v>3</v>
      </c>
    </row>
    <row r="34" spans="1:9">
      <c r="A34" s="38">
        <v>28</v>
      </c>
      <c r="B34" s="3" t="s">
        <v>272</v>
      </c>
      <c r="C34" s="30" t="s">
        <v>273</v>
      </c>
      <c r="D34" s="4">
        <v>2</v>
      </c>
      <c r="E34" s="3"/>
      <c r="F34" s="3"/>
      <c r="G34" s="2"/>
      <c r="H34" s="2"/>
      <c r="I34" s="4">
        <v>2</v>
      </c>
    </row>
    <row r="35" spans="1:9" ht="30">
      <c r="A35" s="38">
        <v>29</v>
      </c>
      <c r="B35" s="3" t="s">
        <v>274</v>
      </c>
      <c r="C35" s="30" t="s">
        <v>275</v>
      </c>
      <c r="D35" s="4">
        <v>1</v>
      </c>
      <c r="E35" s="3"/>
      <c r="F35" s="2"/>
      <c r="G35" s="2"/>
      <c r="H35" s="2"/>
      <c r="I35" s="4">
        <v>1</v>
      </c>
    </row>
    <row r="36" spans="1:9">
      <c r="A36" s="38">
        <v>30</v>
      </c>
      <c r="B36" s="3" t="s">
        <v>276</v>
      </c>
      <c r="C36" s="30" t="s">
        <v>277</v>
      </c>
      <c r="D36" s="4">
        <v>2</v>
      </c>
      <c r="E36" s="3"/>
      <c r="F36" s="3"/>
      <c r="G36" s="2"/>
      <c r="H36" s="2"/>
      <c r="I36" s="4">
        <v>2</v>
      </c>
    </row>
    <row r="37" spans="1:9" ht="30">
      <c r="A37" s="38">
        <v>31</v>
      </c>
      <c r="B37" s="3" t="s">
        <v>278</v>
      </c>
      <c r="C37" s="30" t="s">
        <v>279</v>
      </c>
      <c r="D37" s="4" t="s">
        <v>237</v>
      </c>
      <c r="E37" s="3"/>
      <c r="F37" s="3"/>
      <c r="G37" s="3"/>
      <c r="H37" s="3"/>
      <c r="I37" s="4"/>
    </row>
    <row r="38" spans="1:9">
      <c r="A38" s="38">
        <v>32</v>
      </c>
      <c r="B38" s="3" t="s">
        <v>280</v>
      </c>
      <c r="C38" s="30" t="s">
        <v>281</v>
      </c>
      <c r="D38" s="4">
        <v>1</v>
      </c>
      <c r="E38" s="3"/>
      <c r="F38" s="2"/>
      <c r="G38" s="2"/>
      <c r="H38" s="2"/>
      <c r="I38" s="4">
        <v>1</v>
      </c>
    </row>
    <row r="39" spans="1:9" ht="30">
      <c r="A39" s="38">
        <v>33</v>
      </c>
      <c r="B39" s="3" t="s">
        <v>282</v>
      </c>
      <c r="C39" s="30" t="s">
        <v>283</v>
      </c>
      <c r="D39" s="4">
        <v>2</v>
      </c>
      <c r="E39" s="3"/>
      <c r="F39" s="3"/>
      <c r="G39" s="2"/>
      <c r="H39" s="2"/>
      <c r="I39" s="4">
        <v>2</v>
      </c>
    </row>
    <row r="40" spans="1:9" ht="30">
      <c r="A40" s="38">
        <v>34</v>
      </c>
      <c r="B40" s="3" t="s">
        <v>284</v>
      </c>
      <c r="C40" s="30" t="s">
        <v>285</v>
      </c>
      <c r="D40" s="4">
        <v>3</v>
      </c>
      <c r="E40" s="3"/>
      <c r="F40" s="3"/>
      <c r="G40" s="3"/>
      <c r="H40" s="2"/>
      <c r="I40" s="4">
        <v>3</v>
      </c>
    </row>
    <row r="41" spans="1:9">
      <c r="A41" s="38">
        <v>35</v>
      </c>
      <c r="B41" s="3" t="s">
        <v>286</v>
      </c>
      <c r="C41" s="45" t="s">
        <v>287</v>
      </c>
      <c r="D41" s="4">
        <v>2</v>
      </c>
      <c r="E41" s="3"/>
      <c r="F41" s="3"/>
      <c r="G41" s="2"/>
      <c r="H41" s="2"/>
      <c r="I41" s="4">
        <v>2</v>
      </c>
    </row>
    <row r="42" spans="1:9" ht="30">
      <c r="A42" s="38">
        <v>36</v>
      </c>
      <c r="B42" s="3" t="s">
        <v>288</v>
      </c>
      <c r="C42" s="30" t="s">
        <v>289</v>
      </c>
      <c r="D42" s="4">
        <v>0</v>
      </c>
      <c r="E42" s="2"/>
      <c r="F42" s="2"/>
      <c r="G42" s="2"/>
      <c r="H42" s="2"/>
      <c r="I42" s="4">
        <v>0</v>
      </c>
    </row>
    <row r="43" spans="1:9">
      <c r="A43" s="38">
        <v>37</v>
      </c>
      <c r="B43" s="3" t="s">
        <v>290</v>
      </c>
      <c r="C43" s="30" t="s">
        <v>291</v>
      </c>
      <c r="D43" s="4">
        <v>2</v>
      </c>
      <c r="E43" s="3"/>
      <c r="F43" s="3"/>
      <c r="G43" s="2"/>
      <c r="H43" s="2"/>
      <c r="I43" s="4">
        <v>2</v>
      </c>
    </row>
    <row r="44" spans="1:9">
      <c r="A44" s="38">
        <v>38</v>
      </c>
      <c r="B44" s="3" t="s">
        <v>292</v>
      </c>
      <c r="C44" s="30" t="s">
        <v>293</v>
      </c>
      <c r="D44" s="4">
        <v>0</v>
      </c>
      <c r="E44" s="2"/>
      <c r="F44" s="2"/>
      <c r="G44" s="2"/>
      <c r="H44" s="2"/>
      <c r="I44" s="4">
        <v>0</v>
      </c>
    </row>
    <row r="45" spans="1:9" ht="30">
      <c r="A45" s="38">
        <v>39</v>
      </c>
      <c r="B45" s="3" t="s">
        <v>294</v>
      </c>
      <c r="C45" s="45" t="s">
        <v>295</v>
      </c>
      <c r="D45" s="4" t="s">
        <v>237</v>
      </c>
      <c r="E45" s="3"/>
      <c r="F45" s="3"/>
      <c r="G45" s="3"/>
      <c r="H45" s="3"/>
      <c r="I45" s="4"/>
    </row>
    <row r="46" spans="1:9" ht="30">
      <c r="A46" s="38">
        <v>40</v>
      </c>
      <c r="B46" s="3" t="s">
        <v>296</v>
      </c>
      <c r="C46" s="30" t="s">
        <v>297</v>
      </c>
      <c r="D46" s="4">
        <v>3</v>
      </c>
      <c r="E46" s="3"/>
      <c r="F46" s="3"/>
      <c r="G46" s="3"/>
      <c r="H46" s="2"/>
      <c r="I46" s="4">
        <v>3</v>
      </c>
    </row>
    <row r="47" spans="1:9">
      <c r="A47" s="38">
        <v>41</v>
      </c>
      <c r="B47" s="3" t="s">
        <v>298</v>
      </c>
      <c r="C47" s="30" t="s">
        <v>299</v>
      </c>
      <c r="D47" s="4" t="s">
        <v>237</v>
      </c>
      <c r="E47" s="3"/>
      <c r="F47" s="3"/>
      <c r="G47" s="3"/>
      <c r="H47" s="3"/>
      <c r="I47" s="4"/>
    </row>
    <row r="48" spans="1:9" ht="30">
      <c r="A48" s="38">
        <v>42</v>
      </c>
      <c r="B48" s="3" t="s">
        <v>300</v>
      </c>
      <c r="C48" s="30" t="s">
        <v>301</v>
      </c>
      <c r="D48" s="4">
        <v>1</v>
      </c>
      <c r="E48" s="3"/>
      <c r="F48" s="2"/>
      <c r="G48" s="2"/>
      <c r="H48" s="2"/>
      <c r="I48" s="4">
        <v>1</v>
      </c>
    </row>
    <row r="49" spans="1:9" ht="30">
      <c r="A49" s="38">
        <v>43</v>
      </c>
      <c r="B49" s="3" t="s">
        <v>302</v>
      </c>
      <c r="C49" s="30" t="s">
        <v>303</v>
      </c>
      <c r="D49" s="4">
        <v>0</v>
      </c>
      <c r="E49" s="2"/>
      <c r="F49" s="2"/>
      <c r="G49" s="2"/>
      <c r="H49" s="2"/>
      <c r="I49" s="4">
        <v>0</v>
      </c>
    </row>
    <row r="50" spans="1:9">
      <c r="A50" s="38">
        <v>44</v>
      </c>
      <c r="B50" s="3" t="s">
        <v>304</v>
      </c>
      <c r="C50" s="30" t="s">
        <v>305</v>
      </c>
      <c r="D50" s="4">
        <v>2</v>
      </c>
      <c r="E50" s="3"/>
      <c r="F50" s="3"/>
      <c r="G50" s="2"/>
      <c r="H50" s="2"/>
      <c r="I50" s="4">
        <v>2</v>
      </c>
    </row>
    <row r="51" spans="1:9">
      <c r="A51" s="38">
        <v>45</v>
      </c>
      <c r="B51" s="3" t="s">
        <v>306</v>
      </c>
      <c r="C51" s="30" t="s">
        <v>307</v>
      </c>
      <c r="D51" s="4">
        <v>0</v>
      </c>
      <c r="E51" s="2"/>
      <c r="F51" s="2"/>
      <c r="G51" s="2"/>
      <c r="H51" s="2"/>
      <c r="I51" s="4">
        <v>0</v>
      </c>
    </row>
    <row r="52" spans="1:9" ht="30">
      <c r="A52" s="38">
        <v>46</v>
      </c>
      <c r="B52" s="3" t="s">
        <v>308</v>
      </c>
      <c r="C52" s="30" t="s">
        <v>309</v>
      </c>
      <c r="D52" s="4">
        <v>1</v>
      </c>
      <c r="E52" s="3"/>
      <c r="F52" s="2"/>
      <c r="G52" s="2"/>
      <c r="H52" s="2"/>
      <c r="I52" s="4">
        <v>1</v>
      </c>
    </row>
    <row r="53" spans="1:9" ht="30">
      <c r="A53" s="38">
        <v>47</v>
      </c>
      <c r="B53" s="3" t="s">
        <v>310</v>
      </c>
      <c r="C53" s="45" t="s">
        <v>311</v>
      </c>
      <c r="D53" s="4">
        <v>0</v>
      </c>
      <c r="E53" s="2"/>
      <c r="F53" s="2"/>
      <c r="G53" s="2"/>
      <c r="H53" s="2"/>
      <c r="I53" s="4">
        <v>0</v>
      </c>
    </row>
    <row r="54" spans="1:9" ht="30">
      <c r="A54" s="38">
        <v>48</v>
      </c>
      <c r="B54" s="3" t="s">
        <v>312</v>
      </c>
      <c r="C54" s="30" t="s">
        <v>313</v>
      </c>
      <c r="D54" s="4">
        <v>3</v>
      </c>
      <c r="E54" s="3"/>
      <c r="F54" s="3"/>
      <c r="G54" s="3"/>
      <c r="H54" s="2"/>
      <c r="I54" s="4">
        <v>3</v>
      </c>
    </row>
    <row r="55" spans="1:9">
      <c r="A55" s="38">
        <v>49</v>
      </c>
      <c r="B55" s="3" t="s">
        <v>314</v>
      </c>
      <c r="C55" s="30" t="s">
        <v>315</v>
      </c>
      <c r="D55" s="4">
        <v>2</v>
      </c>
      <c r="E55" s="3"/>
      <c r="F55" s="3"/>
      <c r="G55" s="2"/>
      <c r="H55" s="2"/>
      <c r="I55" s="4">
        <v>2</v>
      </c>
    </row>
    <row r="56" spans="1:9">
      <c r="A56" s="38">
        <v>50</v>
      </c>
      <c r="B56" s="3" t="s">
        <v>316</v>
      </c>
      <c r="C56" s="30" t="s">
        <v>317</v>
      </c>
      <c r="D56" s="3" t="s">
        <v>237</v>
      </c>
      <c r="E56" s="3"/>
      <c r="F56" s="3"/>
      <c r="G56" s="3"/>
      <c r="H56" s="3"/>
      <c r="I56" s="4"/>
    </row>
    <row r="57" spans="1:9">
      <c r="C57" s="30" t="s">
        <v>318</v>
      </c>
    </row>
    <row r="58" spans="1:9">
      <c r="C58" s="30" t="s">
        <v>319</v>
      </c>
    </row>
    <row r="59" spans="1:9">
      <c r="C59" s="30" t="s">
        <v>320</v>
      </c>
    </row>
    <row r="60" spans="1:9">
      <c r="C60" s="30" t="s">
        <v>321</v>
      </c>
    </row>
    <row r="61" spans="1:9">
      <c r="C61" s="30" t="s">
        <v>322</v>
      </c>
    </row>
    <row r="62" spans="1:9">
      <c r="C62" s="30" t="s">
        <v>323</v>
      </c>
    </row>
    <row r="63" spans="1:9">
      <c r="C63" s="30" t="s">
        <v>316</v>
      </c>
    </row>
  </sheetData>
  <mergeCells count="1">
    <mergeCell ref="A1:F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A0F07-4649-4D68-8C06-8BAFCABFD859}">
  <dimension ref="A1:G59"/>
  <sheetViews>
    <sheetView workbookViewId="0">
      <selection activeCell="J5" sqref="J5"/>
    </sheetView>
  </sheetViews>
  <sheetFormatPr defaultRowHeight="15"/>
  <cols>
    <col min="1" max="1" width="6.28515625" style="5" customWidth="1"/>
    <col min="2" max="2" width="68" customWidth="1"/>
    <col min="3" max="7" width="5.28515625" style="5" customWidth="1"/>
  </cols>
  <sheetData>
    <row r="1" spans="1:7">
      <c r="A1" s="43" t="s">
        <v>1</v>
      </c>
    </row>
    <row r="2" spans="1:7">
      <c r="A2" s="44" t="s">
        <v>324</v>
      </c>
      <c r="B2" s="39" t="s">
        <v>217</v>
      </c>
      <c r="C2" s="4"/>
      <c r="D2" s="4"/>
      <c r="E2" s="4"/>
      <c r="F2" s="4"/>
      <c r="G2" s="4"/>
    </row>
    <row r="3" spans="1:7">
      <c r="A3" s="4">
        <v>1</v>
      </c>
      <c r="B3" s="2" t="s">
        <v>219</v>
      </c>
      <c r="C3" s="4">
        <v>0</v>
      </c>
      <c r="D3" s="4">
        <v>1</v>
      </c>
      <c r="E3" s="4">
        <v>2</v>
      </c>
      <c r="F3" s="4">
        <v>3</v>
      </c>
      <c r="G3" s="4" t="s">
        <v>325</v>
      </c>
    </row>
    <row r="4" spans="1:7">
      <c r="A4" s="4">
        <v>2</v>
      </c>
      <c r="B4" s="2" t="s">
        <v>221</v>
      </c>
      <c r="C4" s="4">
        <v>0</v>
      </c>
      <c r="D4" s="4">
        <v>1</v>
      </c>
      <c r="E4" s="4">
        <v>2</v>
      </c>
      <c r="F4" s="4">
        <v>3</v>
      </c>
      <c r="G4" s="4" t="s">
        <v>325</v>
      </c>
    </row>
    <row r="5" spans="1:7">
      <c r="A5" s="4">
        <v>3</v>
      </c>
      <c r="B5" s="2" t="s">
        <v>223</v>
      </c>
      <c r="C5" s="4">
        <v>0</v>
      </c>
      <c r="D5" s="4">
        <v>1</v>
      </c>
      <c r="E5" s="4">
        <v>2</v>
      </c>
      <c r="F5" s="4">
        <v>3</v>
      </c>
      <c r="G5" s="4" t="s">
        <v>325</v>
      </c>
    </row>
    <row r="6" spans="1:7">
      <c r="A6" s="4">
        <v>4</v>
      </c>
      <c r="B6" s="2" t="s">
        <v>225</v>
      </c>
      <c r="C6" s="4">
        <v>0</v>
      </c>
      <c r="D6" s="4">
        <v>1</v>
      </c>
      <c r="E6" s="4">
        <v>2</v>
      </c>
      <c r="F6" s="4">
        <v>3</v>
      </c>
      <c r="G6" s="4" t="s">
        <v>325</v>
      </c>
    </row>
    <row r="7" spans="1:7">
      <c r="A7" s="4">
        <v>5</v>
      </c>
      <c r="B7" s="2" t="s">
        <v>227</v>
      </c>
      <c r="C7" s="4">
        <v>0</v>
      </c>
      <c r="D7" s="4">
        <v>1</v>
      </c>
      <c r="E7" s="4">
        <v>2</v>
      </c>
      <c r="F7" s="4">
        <v>3</v>
      </c>
      <c r="G7" s="4" t="s">
        <v>325</v>
      </c>
    </row>
    <row r="8" spans="1:7">
      <c r="A8" s="4">
        <v>6</v>
      </c>
      <c r="B8" s="2" t="s">
        <v>229</v>
      </c>
      <c r="C8" s="4">
        <v>0</v>
      </c>
      <c r="D8" s="4">
        <v>1</v>
      </c>
      <c r="E8" s="4">
        <v>2</v>
      </c>
      <c r="F8" s="4">
        <v>3</v>
      </c>
      <c r="G8" s="4" t="s">
        <v>325</v>
      </c>
    </row>
    <row r="9" spans="1:7">
      <c r="A9" s="4">
        <v>7</v>
      </c>
      <c r="B9" s="2" t="s">
        <v>231</v>
      </c>
      <c r="C9" s="4">
        <v>0</v>
      </c>
      <c r="D9" s="4">
        <v>1</v>
      </c>
      <c r="E9" s="4">
        <v>2</v>
      </c>
      <c r="F9" s="4">
        <v>3</v>
      </c>
      <c r="G9" s="4" t="s">
        <v>325</v>
      </c>
    </row>
    <row r="10" spans="1:7">
      <c r="A10" s="4">
        <v>8</v>
      </c>
      <c r="B10" s="2" t="s">
        <v>233</v>
      </c>
      <c r="C10" s="4">
        <v>0</v>
      </c>
      <c r="D10" s="4">
        <v>1</v>
      </c>
      <c r="E10" s="4">
        <v>2</v>
      </c>
      <c r="F10" s="4">
        <v>3</v>
      </c>
      <c r="G10" s="4" t="s">
        <v>325</v>
      </c>
    </row>
    <row r="11" spans="1:7">
      <c r="A11" s="4">
        <v>9</v>
      </c>
      <c r="B11" s="2" t="s">
        <v>235</v>
      </c>
      <c r="C11" s="4">
        <v>0</v>
      </c>
      <c r="D11" s="4">
        <v>1</v>
      </c>
      <c r="E11" s="4">
        <v>2</v>
      </c>
      <c r="F11" s="4">
        <v>3</v>
      </c>
      <c r="G11" s="4" t="s">
        <v>325</v>
      </c>
    </row>
    <row r="12" spans="1:7">
      <c r="A12" s="4">
        <v>10</v>
      </c>
      <c r="B12" s="2" t="s">
        <v>222</v>
      </c>
      <c r="C12" s="4">
        <v>0</v>
      </c>
      <c r="D12" s="4">
        <v>1</v>
      </c>
      <c r="E12" s="4">
        <v>2</v>
      </c>
      <c r="F12" s="4">
        <v>3</v>
      </c>
      <c r="G12" s="4" t="s">
        <v>325</v>
      </c>
    </row>
    <row r="13" spans="1:7">
      <c r="A13" s="44" t="s">
        <v>326</v>
      </c>
      <c r="B13" s="39" t="s">
        <v>239</v>
      </c>
      <c r="C13" s="4"/>
      <c r="D13" s="4"/>
      <c r="E13" s="4"/>
      <c r="F13" s="4"/>
      <c r="G13" s="4"/>
    </row>
    <row r="14" spans="1:7">
      <c r="A14" s="4"/>
      <c r="B14" s="39" t="s">
        <v>241</v>
      </c>
      <c r="C14" s="4"/>
      <c r="D14" s="4"/>
      <c r="E14" s="4"/>
      <c r="F14" s="4"/>
      <c r="G14" s="4"/>
    </row>
    <row r="15" spans="1:7">
      <c r="A15" s="4">
        <v>1</v>
      </c>
      <c r="B15" s="2" t="s">
        <v>243</v>
      </c>
      <c r="C15" s="4">
        <v>0</v>
      </c>
      <c r="D15" s="4">
        <v>1</v>
      </c>
      <c r="E15" s="4">
        <v>2</v>
      </c>
      <c r="F15" s="4">
        <v>3</v>
      </c>
      <c r="G15" s="4" t="s">
        <v>325</v>
      </c>
    </row>
    <row r="16" spans="1:7">
      <c r="A16" s="4">
        <v>2</v>
      </c>
      <c r="B16" s="2" t="s">
        <v>245</v>
      </c>
      <c r="C16" s="4">
        <v>0</v>
      </c>
      <c r="D16" s="4">
        <v>1</v>
      </c>
      <c r="E16" s="4">
        <v>2</v>
      </c>
      <c r="F16" s="4">
        <v>3</v>
      </c>
      <c r="G16" s="4" t="s">
        <v>325</v>
      </c>
    </row>
    <row r="17" spans="1:7">
      <c r="A17" s="4">
        <v>3</v>
      </c>
      <c r="B17" s="2" t="s">
        <v>247</v>
      </c>
      <c r="C17" s="4">
        <v>0</v>
      </c>
      <c r="D17" s="4">
        <v>1</v>
      </c>
      <c r="E17" s="4">
        <v>2</v>
      </c>
      <c r="F17" s="4">
        <v>3</v>
      </c>
      <c r="G17" s="4" t="s">
        <v>325</v>
      </c>
    </row>
    <row r="18" spans="1:7">
      <c r="A18" s="4">
        <v>4</v>
      </c>
      <c r="B18" s="2" t="s">
        <v>249</v>
      </c>
      <c r="C18" s="4">
        <v>0</v>
      </c>
      <c r="D18" s="4">
        <v>1</v>
      </c>
      <c r="E18" s="4">
        <v>2</v>
      </c>
      <c r="F18" s="4">
        <v>3</v>
      </c>
      <c r="G18" s="4" t="s">
        <v>325</v>
      </c>
    </row>
    <row r="19" spans="1:7">
      <c r="B19" s="42" t="s">
        <v>251</v>
      </c>
    </row>
    <row r="20" spans="1:7">
      <c r="A20" s="4">
        <v>1</v>
      </c>
      <c r="B20" s="2" t="s">
        <v>253</v>
      </c>
      <c r="C20" s="4">
        <v>0</v>
      </c>
      <c r="D20" s="4">
        <v>1</v>
      </c>
      <c r="E20" s="4">
        <v>2</v>
      </c>
      <c r="F20" s="4">
        <v>3</v>
      </c>
      <c r="G20" s="4" t="s">
        <v>325</v>
      </c>
    </row>
    <row r="21" spans="1:7">
      <c r="A21" s="4">
        <v>2</v>
      </c>
      <c r="B21" s="2" t="s">
        <v>255</v>
      </c>
      <c r="C21" s="4">
        <v>0</v>
      </c>
      <c r="D21" s="4">
        <v>1</v>
      </c>
      <c r="E21" s="4">
        <v>2</v>
      </c>
      <c r="F21" s="4">
        <v>3</v>
      </c>
      <c r="G21" s="4" t="s">
        <v>325</v>
      </c>
    </row>
    <row r="22" spans="1:7">
      <c r="A22" s="4">
        <v>3</v>
      </c>
      <c r="B22" s="2" t="s">
        <v>257</v>
      </c>
      <c r="C22" s="4">
        <v>0</v>
      </c>
      <c r="D22" s="4">
        <v>1</v>
      </c>
      <c r="E22" s="4">
        <v>2</v>
      </c>
      <c r="F22" s="4">
        <v>3</v>
      </c>
      <c r="G22" s="4" t="s">
        <v>325</v>
      </c>
    </row>
    <row r="23" spans="1:7">
      <c r="A23" s="4">
        <v>4</v>
      </c>
      <c r="B23" s="2" t="s">
        <v>259</v>
      </c>
      <c r="C23" s="4">
        <v>0</v>
      </c>
      <c r="D23" s="4">
        <v>1</v>
      </c>
      <c r="E23" s="4">
        <v>2</v>
      </c>
      <c r="F23" s="4">
        <v>3</v>
      </c>
      <c r="G23" s="4" t="s">
        <v>325</v>
      </c>
    </row>
    <row r="24" spans="1:7">
      <c r="A24" s="4">
        <v>5</v>
      </c>
      <c r="B24" s="2" t="s">
        <v>261</v>
      </c>
      <c r="C24" s="4">
        <v>0</v>
      </c>
      <c r="D24" s="4">
        <v>1</v>
      </c>
      <c r="E24" s="4">
        <v>2</v>
      </c>
      <c r="F24" s="4">
        <v>3</v>
      </c>
      <c r="G24" s="4" t="s">
        <v>325</v>
      </c>
    </row>
    <row r="25" spans="1:7">
      <c r="A25" s="4">
        <v>6</v>
      </c>
      <c r="B25" s="2" t="s">
        <v>263</v>
      </c>
      <c r="C25" s="4">
        <v>0</v>
      </c>
      <c r="D25" s="4">
        <v>1</v>
      </c>
      <c r="E25" s="4">
        <v>2</v>
      </c>
      <c r="F25" s="4">
        <v>3</v>
      </c>
      <c r="G25" s="4" t="s">
        <v>325</v>
      </c>
    </row>
    <row r="26" spans="1:7">
      <c r="A26" s="44" t="s">
        <v>327</v>
      </c>
      <c r="B26" s="39" t="s">
        <v>265</v>
      </c>
      <c r="C26" s="4"/>
      <c r="D26" s="4"/>
      <c r="E26" s="4"/>
      <c r="F26" s="4"/>
      <c r="G26" s="4"/>
    </row>
    <row r="27" spans="1:7">
      <c r="A27" s="4">
        <v>1</v>
      </c>
      <c r="B27" s="2" t="s">
        <v>267</v>
      </c>
      <c r="C27" s="4">
        <v>0</v>
      </c>
      <c r="D27" s="4">
        <v>1</v>
      </c>
      <c r="E27" s="4">
        <v>2</v>
      </c>
      <c r="F27" s="4">
        <v>3</v>
      </c>
      <c r="G27" s="4" t="s">
        <v>325</v>
      </c>
    </row>
    <row r="28" spans="1:7">
      <c r="A28" s="4">
        <v>2</v>
      </c>
      <c r="B28" s="2" t="s">
        <v>269</v>
      </c>
      <c r="C28" s="4">
        <v>0</v>
      </c>
      <c r="D28" s="4">
        <v>1</v>
      </c>
      <c r="E28" s="4">
        <v>2</v>
      </c>
      <c r="F28" s="4">
        <v>3</v>
      </c>
      <c r="G28" s="4" t="s">
        <v>325</v>
      </c>
    </row>
    <row r="29" spans="1:7">
      <c r="A29" s="4">
        <v>3</v>
      </c>
      <c r="B29" s="2" t="s">
        <v>271</v>
      </c>
      <c r="C29" s="4">
        <v>0</v>
      </c>
      <c r="D29" s="4">
        <v>1</v>
      </c>
      <c r="E29" s="4">
        <v>2</v>
      </c>
      <c r="F29" s="4">
        <v>3</v>
      </c>
      <c r="G29" s="4" t="s">
        <v>325</v>
      </c>
    </row>
    <row r="30" spans="1:7">
      <c r="A30" s="4">
        <v>4</v>
      </c>
      <c r="B30" s="2" t="s">
        <v>273</v>
      </c>
      <c r="C30" s="4">
        <v>0</v>
      </c>
      <c r="D30" s="4">
        <v>1</v>
      </c>
      <c r="E30" s="4">
        <v>2</v>
      </c>
      <c r="F30" s="4">
        <v>3</v>
      </c>
      <c r="G30" s="4" t="s">
        <v>325</v>
      </c>
    </row>
    <row r="31" spans="1:7">
      <c r="A31" s="4">
        <v>5</v>
      </c>
      <c r="B31" s="2" t="s">
        <v>275</v>
      </c>
      <c r="C31" s="4">
        <v>0</v>
      </c>
      <c r="D31" s="4">
        <v>1</v>
      </c>
      <c r="E31" s="4">
        <v>2</v>
      </c>
      <c r="F31" s="4">
        <v>3</v>
      </c>
      <c r="G31" s="4" t="s">
        <v>325</v>
      </c>
    </row>
    <row r="32" spans="1:7">
      <c r="A32" s="4">
        <v>6</v>
      </c>
      <c r="B32" s="2" t="s">
        <v>277</v>
      </c>
      <c r="C32" s="4">
        <v>0</v>
      </c>
      <c r="D32" s="4">
        <v>1</v>
      </c>
      <c r="E32" s="4">
        <v>2</v>
      </c>
      <c r="F32" s="4">
        <v>3</v>
      </c>
      <c r="G32" s="4" t="s">
        <v>325</v>
      </c>
    </row>
    <row r="33" spans="1:7">
      <c r="A33" s="4">
        <v>7</v>
      </c>
      <c r="B33" s="2" t="s">
        <v>279</v>
      </c>
      <c r="C33" s="4">
        <v>0</v>
      </c>
      <c r="D33" s="4">
        <v>1</v>
      </c>
      <c r="E33" s="4">
        <v>2</v>
      </c>
      <c r="F33" s="4">
        <v>3</v>
      </c>
      <c r="G33" s="4" t="s">
        <v>325</v>
      </c>
    </row>
    <row r="34" spans="1:7">
      <c r="A34" s="4">
        <v>8</v>
      </c>
      <c r="B34" s="2" t="s">
        <v>281</v>
      </c>
      <c r="C34" s="4">
        <v>0</v>
      </c>
      <c r="D34" s="4">
        <v>1</v>
      </c>
      <c r="E34" s="4">
        <v>2</v>
      </c>
      <c r="F34" s="4">
        <v>3</v>
      </c>
      <c r="G34" s="4" t="s">
        <v>325</v>
      </c>
    </row>
    <row r="35" spans="1:7">
      <c r="A35" s="4">
        <v>9</v>
      </c>
      <c r="B35" s="2" t="s">
        <v>283</v>
      </c>
      <c r="C35" s="4">
        <v>0</v>
      </c>
      <c r="D35" s="4">
        <v>1</v>
      </c>
      <c r="E35" s="4">
        <v>2</v>
      </c>
      <c r="F35" s="4">
        <v>3</v>
      </c>
      <c r="G35" s="4" t="s">
        <v>325</v>
      </c>
    </row>
    <row r="36" spans="1:7">
      <c r="A36" s="4">
        <v>10</v>
      </c>
      <c r="B36" s="2" t="s">
        <v>285</v>
      </c>
      <c r="C36" s="4">
        <v>0</v>
      </c>
      <c r="D36" s="4">
        <v>1</v>
      </c>
      <c r="E36" s="4">
        <v>2</v>
      </c>
      <c r="F36" s="4">
        <v>3</v>
      </c>
      <c r="G36" s="4" t="s">
        <v>325</v>
      </c>
    </row>
    <row r="37" spans="1:7">
      <c r="A37" s="44" t="s">
        <v>328</v>
      </c>
      <c r="B37" s="39" t="s">
        <v>287</v>
      </c>
      <c r="C37" s="4"/>
      <c r="D37" s="4"/>
      <c r="E37" s="4"/>
      <c r="F37" s="4"/>
      <c r="G37" s="4"/>
    </row>
    <row r="38" spans="1:7">
      <c r="A38" s="4"/>
      <c r="B38" s="2" t="s">
        <v>289</v>
      </c>
      <c r="C38" s="4">
        <v>0</v>
      </c>
      <c r="D38" s="4">
        <v>1</v>
      </c>
      <c r="E38" s="4">
        <v>2</v>
      </c>
      <c r="F38" s="4">
        <v>3</v>
      </c>
      <c r="G38" s="4" t="s">
        <v>325</v>
      </c>
    </row>
    <row r="39" spans="1:7">
      <c r="A39" s="4"/>
      <c r="B39" s="2" t="s">
        <v>291</v>
      </c>
      <c r="C39" s="4">
        <v>0</v>
      </c>
      <c r="D39" s="4">
        <v>1</v>
      </c>
      <c r="E39" s="4">
        <v>2</v>
      </c>
      <c r="F39" s="4">
        <v>3</v>
      </c>
      <c r="G39" s="4" t="s">
        <v>325</v>
      </c>
    </row>
    <row r="40" spans="1:7">
      <c r="A40" s="4"/>
      <c r="B40" s="2" t="s">
        <v>293</v>
      </c>
      <c r="C40" s="4">
        <v>0</v>
      </c>
      <c r="D40" s="4">
        <v>1</v>
      </c>
      <c r="E40" s="4">
        <v>2</v>
      </c>
      <c r="F40" s="4">
        <v>3</v>
      </c>
      <c r="G40" s="4" t="s">
        <v>325</v>
      </c>
    </row>
    <row r="41" spans="1:7">
      <c r="A41" s="44" t="s">
        <v>329</v>
      </c>
      <c r="B41" s="39" t="s">
        <v>295</v>
      </c>
      <c r="C41" s="4"/>
      <c r="D41" s="4"/>
      <c r="E41" s="4"/>
      <c r="F41" s="4"/>
      <c r="G41" s="4"/>
    </row>
    <row r="42" spans="1:7">
      <c r="A42" s="4">
        <v>1</v>
      </c>
      <c r="B42" s="2" t="s">
        <v>297</v>
      </c>
      <c r="C42" s="4">
        <v>0</v>
      </c>
      <c r="D42" s="4">
        <v>1</v>
      </c>
      <c r="E42" s="4">
        <v>2</v>
      </c>
      <c r="F42" s="4">
        <v>3</v>
      </c>
      <c r="G42" s="4" t="s">
        <v>325</v>
      </c>
    </row>
    <row r="43" spans="1:7">
      <c r="A43" s="4">
        <v>2</v>
      </c>
      <c r="B43" s="2" t="s">
        <v>299</v>
      </c>
      <c r="C43" s="4">
        <v>0</v>
      </c>
      <c r="D43" s="4">
        <v>1</v>
      </c>
      <c r="E43" s="4">
        <v>2</v>
      </c>
      <c r="F43" s="4">
        <v>3</v>
      </c>
      <c r="G43" s="4" t="s">
        <v>325</v>
      </c>
    </row>
    <row r="44" spans="1:7">
      <c r="A44" s="4">
        <v>3</v>
      </c>
      <c r="B44" s="2" t="s">
        <v>301</v>
      </c>
      <c r="C44" s="4">
        <v>0</v>
      </c>
      <c r="D44" s="4">
        <v>1</v>
      </c>
      <c r="E44" s="4">
        <v>2</v>
      </c>
      <c r="F44" s="4">
        <v>3</v>
      </c>
      <c r="G44" s="4" t="s">
        <v>325</v>
      </c>
    </row>
    <row r="45" spans="1:7">
      <c r="A45" s="4">
        <v>4</v>
      </c>
      <c r="B45" s="2" t="s">
        <v>303</v>
      </c>
      <c r="C45" s="4">
        <v>0</v>
      </c>
      <c r="D45" s="4">
        <v>1</v>
      </c>
      <c r="E45" s="4">
        <v>2</v>
      </c>
      <c r="F45" s="4">
        <v>3</v>
      </c>
      <c r="G45" s="4" t="s">
        <v>325</v>
      </c>
    </row>
    <row r="46" spans="1:7">
      <c r="A46" s="4">
        <v>5</v>
      </c>
      <c r="B46" s="2" t="s">
        <v>305</v>
      </c>
      <c r="C46" s="4">
        <v>0</v>
      </c>
      <c r="D46" s="4">
        <v>1</v>
      </c>
      <c r="E46" s="4">
        <v>2</v>
      </c>
      <c r="F46" s="4">
        <v>3</v>
      </c>
      <c r="G46" s="4" t="s">
        <v>325</v>
      </c>
    </row>
    <row r="47" spans="1:7">
      <c r="A47" s="4">
        <v>6</v>
      </c>
      <c r="B47" s="2" t="s">
        <v>307</v>
      </c>
      <c r="C47" s="4">
        <v>0</v>
      </c>
      <c r="D47" s="4">
        <v>1</v>
      </c>
      <c r="E47" s="4">
        <v>2</v>
      </c>
      <c r="F47" s="4">
        <v>3</v>
      </c>
      <c r="G47" s="4" t="s">
        <v>325</v>
      </c>
    </row>
    <row r="48" spans="1:7">
      <c r="A48" s="4">
        <v>7</v>
      </c>
      <c r="B48" s="2" t="s">
        <v>309</v>
      </c>
      <c r="C48" s="4">
        <v>0</v>
      </c>
      <c r="D48" s="4">
        <v>1</v>
      </c>
      <c r="E48" s="4">
        <v>2</v>
      </c>
      <c r="F48" s="4">
        <v>3</v>
      </c>
      <c r="G48" s="4" t="s">
        <v>325</v>
      </c>
    </row>
    <row r="49" spans="1:7" s="42" customFormat="1">
      <c r="A49" s="44" t="s">
        <v>330</v>
      </c>
      <c r="B49" s="39" t="s">
        <v>311</v>
      </c>
      <c r="C49" s="44"/>
      <c r="D49" s="44"/>
      <c r="E49" s="44"/>
      <c r="F49" s="44"/>
      <c r="G49" s="44"/>
    </row>
    <row r="50" spans="1:7">
      <c r="A50" s="4">
        <v>1</v>
      </c>
      <c r="B50" s="2" t="s">
        <v>313</v>
      </c>
      <c r="C50" s="4">
        <v>0</v>
      </c>
      <c r="D50" s="4">
        <v>1</v>
      </c>
      <c r="E50" s="4">
        <v>2</v>
      </c>
      <c r="F50" s="4">
        <v>3</v>
      </c>
      <c r="G50" s="4" t="s">
        <v>325</v>
      </c>
    </row>
    <row r="51" spans="1:7">
      <c r="A51" s="4">
        <v>2</v>
      </c>
      <c r="B51" s="2" t="s">
        <v>315</v>
      </c>
      <c r="C51" s="4">
        <v>0</v>
      </c>
      <c r="D51" s="4">
        <v>1</v>
      </c>
      <c r="E51" s="4">
        <v>2</v>
      </c>
      <c r="F51" s="4">
        <v>3</v>
      </c>
      <c r="G51" s="4" t="s">
        <v>325</v>
      </c>
    </row>
    <row r="52" spans="1:7">
      <c r="A52" s="4">
        <v>3</v>
      </c>
      <c r="B52" s="2" t="s">
        <v>317</v>
      </c>
      <c r="C52" s="4">
        <v>0</v>
      </c>
      <c r="D52" s="4">
        <v>1</v>
      </c>
      <c r="E52" s="4">
        <v>2</v>
      </c>
      <c r="F52" s="4">
        <v>3</v>
      </c>
      <c r="G52" s="4" t="s">
        <v>325</v>
      </c>
    </row>
    <row r="53" spans="1:7">
      <c r="A53" s="4">
        <v>4</v>
      </c>
      <c r="B53" s="2" t="s">
        <v>318</v>
      </c>
      <c r="C53" s="4">
        <v>0</v>
      </c>
      <c r="D53" s="4">
        <v>1</v>
      </c>
      <c r="E53" s="4">
        <v>2</v>
      </c>
      <c r="F53" s="4">
        <v>3</v>
      </c>
      <c r="G53" s="4" t="s">
        <v>325</v>
      </c>
    </row>
    <row r="54" spans="1:7">
      <c r="A54" s="4">
        <v>5</v>
      </c>
      <c r="B54" s="2" t="s">
        <v>319</v>
      </c>
      <c r="C54" s="4">
        <v>0</v>
      </c>
      <c r="D54" s="4">
        <v>1</v>
      </c>
      <c r="E54" s="4">
        <v>2</v>
      </c>
      <c r="F54" s="4">
        <v>3</v>
      </c>
      <c r="G54" s="4" t="s">
        <v>325</v>
      </c>
    </row>
    <row r="55" spans="1:7">
      <c r="A55" s="4">
        <v>6</v>
      </c>
      <c r="B55" s="2" t="s">
        <v>320</v>
      </c>
      <c r="C55" s="4">
        <v>0</v>
      </c>
      <c r="D55" s="4">
        <v>1</v>
      </c>
      <c r="E55" s="4">
        <v>2</v>
      </c>
      <c r="F55" s="4">
        <v>3</v>
      </c>
      <c r="G55" s="4" t="s">
        <v>325</v>
      </c>
    </row>
    <row r="56" spans="1:7">
      <c r="A56" s="4">
        <v>7</v>
      </c>
      <c r="B56" s="2" t="s">
        <v>321</v>
      </c>
      <c r="C56" s="4">
        <v>0</v>
      </c>
      <c r="D56" s="4">
        <v>1</v>
      </c>
      <c r="E56" s="4">
        <v>2</v>
      </c>
      <c r="F56" s="4">
        <v>3</v>
      </c>
      <c r="G56" s="4" t="s">
        <v>325</v>
      </c>
    </row>
    <row r="57" spans="1:7">
      <c r="A57" s="4">
        <v>8</v>
      </c>
      <c r="B57" s="2" t="s">
        <v>322</v>
      </c>
      <c r="C57" s="4">
        <v>0</v>
      </c>
      <c r="D57" s="4">
        <v>1</v>
      </c>
      <c r="E57" s="4">
        <v>2</v>
      </c>
      <c r="F57" s="4">
        <v>3</v>
      </c>
      <c r="G57" s="4" t="s">
        <v>325</v>
      </c>
    </row>
    <row r="58" spans="1:7">
      <c r="A58" s="4">
        <v>9</v>
      </c>
      <c r="B58" s="2" t="s">
        <v>323</v>
      </c>
      <c r="C58" s="4">
        <v>0</v>
      </c>
      <c r="D58" s="4">
        <v>1</v>
      </c>
      <c r="E58" s="4">
        <v>2</v>
      </c>
      <c r="F58" s="4">
        <v>3</v>
      </c>
      <c r="G58" s="4" t="s">
        <v>325</v>
      </c>
    </row>
    <row r="59" spans="1:7">
      <c r="A59" s="4">
        <v>10</v>
      </c>
      <c r="B59" s="2" t="s">
        <v>316</v>
      </c>
      <c r="C59" s="4">
        <v>0</v>
      </c>
      <c r="D59" s="4">
        <v>1</v>
      </c>
      <c r="E59" s="4">
        <v>2</v>
      </c>
      <c r="F59" s="4">
        <v>3</v>
      </c>
      <c r="G59" s="4" t="s">
        <v>325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43CB4-9B4F-48BE-81B3-3E3FCE1AAA4C}">
  <dimension ref="A1:H6"/>
  <sheetViews>
    <sheetView workbookViewId="0"/>
  </sheetViews>
  <sheetFormatPr defaultRowHeight="15"/>
  <cols>
    <col min="1" max="1" width="37.85546875" bestFit="1" customWidth="1"/>
    <col min="2" max="2" width="23.140625" bestFit="1" customWidth="1"/>
    <col min="3" max="3" width="28.7109375" bestFit="1" customWidth="1"/>
    <col min="4" max="4" width="19.42578125" bestFit="1" customWidth="1"/>
    <col min="5" max="5" width="27.5703125" bestFit="1" customWidth="1"/>
    <col min="7" max="7" width="21.42578125" bestFit="1" customWidth="1"/>
  </cols>
  <sheetData>
    <row r="1" spans="1:8">
      <c r="A1" s="42" t="s">
        <v>331</v>
      </c>
    </row>
    <row r="3" spans="1:8">
      <c r="A3" t="s">
        <v>2</v>
      </c>
      <c r="B3" t="s">
        <v>332</v>
      </c>
      <c r="C3" t="s">
        <v>333</v>
      </c>
      <c r="D3" t="s">
        <v>334</v>
      </c>
      <c r="E3" t="s">
        <v>335</v>
      </c>
      <c r="F3" t="s">
        <v>216</v>
      </c>
      <c r="G3" t="s">
        <v>336</v>
      </c>
      <c r="H3" t="s">
        <v>337</v>
      </c>
    </row>
    <row r="4" spans="1:8">
      <c r="A4" t="s">
        <v>292</v>
      </c>
      <c r="D4">
        <v>2</v>
      </c>
      <c r="G4" t="s">
        <v>287</v>
      </c>
      <c r="H4">
        <v>2</v>
      </c>
    </row>
    <row r="5" spans="1:8">
      <c r="A5" t="s">
        <v>290</v>
      </c>
      <c r="C5">
        <v>1</v>
      </c>
      <c r="G5" t="s">
        <v>287</v>
      </c>
      <c r="H5">
        <v>1</v>
      </c>
    </row>
    <row r="6" spans="1:8">
      <c r="A6" t="s">
        <v>296</v>
      </c>
      <c r="C6">
        <v>1</v>
      </c>
      <c r="G6" t="s">
        <v>287</v>
      </c>
      <c r="H6">
        <v>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A520D-3F94-4371-8FBD-94DEBA33DB16}">
  <dimension ref="A1:AC83"/>
  <sheetViews>
    <sheetView topLeftCell="R8" workbookViewId="0">
      <selection activeCell="X6" sqref="X6"/>
    </sheetView>
  </sheetViews>
  <sheetFormatPr defaultRowHeight="15"/>
  <cols>
    <col min="1" max="1" width="65.42578125" customWidth="1"/>
    <col min="2" max="2" width="33.140625" customWidth="1"/>
    <col min="3" max="3" width="17" customWidth="1"/>
    <col min="5" max="5" width="15.85546875" customWidth="1"/>
    <col min="7" max="7" width="21.28515625" customWidth="1"/>
    <col min="9" max="9" width="23.140625" customWidth="1"/>
    <col min="11" max="11" width="19.7109375" bestFit="1" customWidth="1"/>
    <col min="12" max="12" width="16.28515625" bestFit="1" customWidth="1"/>
    <col min="13" max="13" width="16.7109375" bestFit="1" customWidth="1"/>
    <col min="14" max="14" width="6.85546875" bestFit="1" customWidth="1"/>
    <col min="15" max="15" width="16" bestFit="1" customWidth="1"/>
    <col min="16" max="16" width="17.85546875" bestFit="1" customWidth="1"/>
    <col min="17" max="17" width="22.140625" customWidth="1"/>
    <col min="18" max="18" width="30" bestFit="1" customWidth="1"/>
    <col min="19" max="19" width="35.7109375" bestFit="1" customWidth="1"/>
    <col min="20" max="20" width="26.140625" bestFit="1" customWidth="1"/>
    <col min="21" max="21" width="34.5703125" bestFit="1" customWidth="1"/>
    <col min="22" max="23" width="35" customWidth="1"/>
    <col min="24" max="24" width="76.7109375" style="29" customWidth="1"/>
    <col min="25" max="25" width="49.42578125" customWidth="1"/>
    <col min="26" max="27" width="9.140625" hidden="1" customWidth="1"/>
    <col min="28" max="28" width="21" customWidth="1"/>
    <col min="29" max="29" width="18.5703125" bestFit="1" customWidth="1"/>
  </cols>
  <sheetData>
    <row r="1" spans="1:29" ht="60" customHeight="1">
      <c r="A1" s="182" t="s">
        <v>2</v>
      </c>
      <c r="B1" s="180" t="s">
        <v>332</v>
      </c>
      <c r="C1" s="180" t="s">
        <v>333</v>
      </c>
      <c r="D1" s="180" t="s">
        <v>334</v>
      </c>
      <c r="E1" s="180" t="s">
        <v>335</v>
      </c>
      <c r="F1" s="183" t="s">
        <v>216</v>
      </c>
      <c r="G1" s="98" t="s">
        <v>336</v>
      </c>
      <c r="H1" s="98" t="s">
        <v>337</v>
      </c>
      <c r="I1" t="s">
        <v>338</v>
      </c>
      <c r="J1" t="s">
        <v>155</v>
      </c>
    </row>
    <row r="2" spans="1:29">
      <c r="A2" s="182"/>
      <c r="B2" s="181"/>
      <c r="C2" s="181"/>
      <c r="D2" s="181"/>
      <c r="E2" s="181"/>
      <c r="F2" s="183"/>
      <c r="G2" s="98"/>
      <c r="H2" s="98"/>
      <c r="AB2" s="45"/>
      <c r="AC2" s="45" t="s">
        <v>217</v>
      </c>
    </row>
    <row r="3" spans="1:29" ht="34.5" customHeight="1">
      <c r="A3" s="182"/>
      <c r="B3" s="180">
        <v>0</v>
      </c>
      <c r="C3" s="180">
        <v>1</v>
      </c>
      <c r="D3" s="180">
        <v>2</v>
      </c>
      <c r="E3" s="180">
        <v>3</v>
      </c>
      <c r="F3" s="183"/>
      <c r="G3" s="98"/>
      <c r="H3" s="98"/>
      <c r="AB3" s="30" t="s">
        <v>250</v>
      </c>
      <c r="AC3" s="45" t="s">
        <v>217</v>
      </c>
    </row>
    <row r="4" spans="1:29" ht="51.75" customHeight="1">
      <c r="A4" s="176" t="s">
        <v>250</v>
      </c>
      <c r="B4" s="124"/>
      <c r="C4" s="175">
        <v>1</v>
      </c>
      <c r="D4" s="175"/>
      <c r="E4" s="175"/>
      <c r="F4" s="175"/>
      <c r="G4" s="98" t="str">
        <f>VLOOKUP(A4,QuestionsWeiss,2,FALSE)</f>
        <v>Family</v>
      </c>
      <c r="H4" s="124">
        <f>SUM(B4:F4)</f>
        <v>1</v>
      </c>
      <c r="I4" s="269">
        <f>COUNTIFS(G4:G13,"Family")</f>
        <v>10</v>
      </c>
      <c r="J4" s="268">
        <f>SUM(B4:F13)/I4</f>
        <v>1</v>
      </c>
      <c r="Q4" s="55" t="s">
        <v>336</v>
      </c>
      <c r="R4" t="s">
        <v>339</v>
      </c>
      <c r="S4" t="s">
        <v>340</v>
      </c>
      <c r="T4" t="s">
        <v>341</v>
      </c>
      <c r="U4" t="s">
        <v>342</v>
      </c>
      <c r="W4" s="42" t="s">
        <v>343</v>
      </c>
      <c r="AB4" s="30" t="s">
        <v>220</v>
      </c>
      <c r="AC4" s="45" t="s">
        <v>217</v>
      </c>
    </row>
    <row r="5" spans="1:29" ht="45.75">
      <c r="A5" s="177" t="s">
        <v>220</v>
      </c>
      <c r="B5" s="124"/>
      <c r="C5" s="175">
        <v>1</v>
      </c>
      <c r="D5" s="98"/>
      <c r="E5" s="98"/>
      <c r="F5" s="98"/>
      <c r="G5" s="98" t="str">
        <f>VLOOKUP(A5,QuestionsWeiss,2,FALSE)</f>
        <v>Family</v>
      </c>
      <c r="H5" s="124">
        <f t="shared" ref="H5:H53" si="0">SUM(B5:F5)</f>
        <v>1</v>
      </c>
      <c r="I5" s="269"/>
      <c r="J5" s="268"/>
      <c r="Q5" t="s">
        <v>287</v>
      </c>
      <c r="S5">
        <v>3</v>
      </c>
      <c r="V5" s="29"/>
      <c r="W5" s="29" t="str">
        <f>IF(OR(COUNTIF(D34:D36, 2) &gt;= 2, COUNTIF(E34:E36, 3) &gt;= 1), "Impaired in CHILD'S SELF-CONCEPT", IF(SUM(B34:E36) / COUNTIF(F34:F36, "&lt;&gt;na") &gt;= 1.5, "Impaired inCHILD'S SELF-CONCEPT", "Not Impaired in CHILD'S SELF-CONCEPT"))</f>
        <v>Not Impaired in CHILD'S SELF-CONCEPT</v>
      </c>
      <c r="X5" s="29" t="str">
        <f>IF(W5="Impaired Self-concept",
   "Your responses suggest that ADHD may be affecting how your child sees themselves. Low self-esteem or frustration is common, but with the right support, confidence can grow.",
   "It’s reassuring that your child appears to have a healthy sense of self. Supporting their strengths and acknowledging progress can help maintain this confidence.")</f>
        <v>It’s reassuring that your child appears to have a healthy sense of self. Supporting their strengths and acknowledging progress can help maintain this confidence.</v>
      </c>
      <c r="AB5" s="30" t="s">
        <v>264</v>
      </c>
      <c r="AC5" s="45" t="s">
        <v>217</v>
      </c>
    </row>
    <row r="6" spans="1:29" ht="30.75">
      <c r="A6" s="177" t="s">
        <v>264</v>
      </c>
      <c r="B6" s="124"/>
      <c r="C6" s="175">
        <v>1</v>
      </c>
      <c r="D6" s="175"/>
      <c r="E6" s="175"/>
      <c r="F6" s="175"/>
      <c r="G6" s="98" t="str">
        <f>VLOOKUP(A6,QuestionsWeiss,2,FALSE)</f>
        <v>Family</v>
      </c>
      <c r="H6" s="124">
        <f t="shared" si="0"/>
        <v>1</v>
      </c>
      <c r="I6" s="269"/>
      <c r="J6" s="268"/>
      <c r="Q6" t="s">
        <v>265</v>
      </c>
      <c r="S6">
        <v>10</v>
      </c>
      <c r="W6" s="29" t="str">
        <f>IF(OR(COUNTIF(D24:D33, 2) &gt;= 2, COUNTIF(E24:E33, 3) &gt;= 1), "Impaired in  LIFE SKILLS", IF(SUM(B24:E33) / COUNTIF(F24:F33, "&lt;&gt;na") &gt;= 1.5, "Impaired in LIFE SKILLS", "Not Impaired in  LIFE SKILLS"))</f>
        <v>Not Impaired in  LIFE SKILLS</v>
      </c>
      <c r="X6" s="29" t="str">
        <f>IF(W6="Impaired Life skills",
   "Daily tasks like organisation, self-care, or time management may be more difficult due to ADHD symptoms.",
   "It’s great to see that your child is managing their daily routines and responsibilities well. Building independence is a strong foundation for future success.")</f>
        <v>It’s great to see that your child is managing their daily routines and responsibilities well. Building independence is a strong foundation for future success.</v>
      </c>
      <c r="AB6" s="30" t="s">
        <v>218</v>
      </c>
      <c r="AC6" s="45" t="s">
        <v>217</v>
      </c>
    </row>
    <row r="7" spans="1:29" ht="45.75">
      <c r="A7" s="177" t="s">
        <v>218</v>
      </c>
      <c r="B7" s="124"/>
      <c r="C7" s="175">
        <v>1</v>
      </c>
      <c r="D7" s="98"/>
      <c r="E7" s="98"/>
      <c r="F7" s="98"/>
      <c r="G7" s="98" t="str">
        <f>VLOOKUP(A7,QuestionsWeiss,2,FALSE)</f>
        <v>Family</v>
      </c>
      <c r="H7" s="124">
        <f t="shared" si="0"/>
        <v>1</v>
      </c>
      <c r="I7" s="269"/>
      <c r="J7" s="268"/>
      <c r="Q7" t="s">
        <v>344</v>
      </c>
      <c r="S7">
        <v>4</v>
      </c>
      <c r="V7" s="29"/>
      <c r="W7" s="29" t="str">
        <f>IF(OR(COUNTIF(D14:D17, 2) &gt;= 2, COUNTIF(E14:E17, 3) &gt;= 1), "Impaired in  SCHOOL Learning", IF(SUM(B14:E17) / COUNTIF(F14:F17, "&lt;&gt;na") &gt;= 1.5, "Impaired in  SCHOOL Learning", "Not Impaired in   SCHOOL Learning"))</f>
        <v>Not Impaired in   SCHOOL Learning</v>
      </c>
      <c r="X7" s="29" t="str">
        <f>IF(W7="Impaired School Learning",
   "Your responses suggest that ADHD symptoms may be affecting your child’s ability to complete work or tasks.",
   "It appears your child is managing well with their work or tasks. This is a positive sign — keep encouraging routines and habits that support focus and organisation.")</f>
        <v>It appears your child is managing well with their work or tasks. This is a positive sign — keep encouraging routines and habits that support focus and organisation.</v>
      </c>
      <c r="AB7" s="30" t="s">
        <v>240</v>
      </c>
      <c r="AC7" s="45" t="s">
        <v>217</v>
      </c>
    </row>
    <row r="8" spans="1:29" ht="45.75">
      <c r="A8" s="178" t="s">
        <v>240</v>
      </c>
      <c r="B8" s="124"/>
      <c r="C8" s="175">
        <v>1</v>
      </c>
      <c r="D8" s="175"/>
      <c r="E8" s="175"/>
      <c r="F8" s="175"/>
      <c r="G8" s="98" t="str">
        <f>VLOOKUP(A8,QuestionsWeiss,2,FALSE)</f>
        <v>Family</v>
      </c>
      <c r="H8" s="124">
        <f t="shared" si="0"/>
        <v>1</v>
      </c>
      <c r="I8" s="269"/>
      <c r="J8" s="268"/>
      <c r="Q8" t="s">
        <v>217</v>
      </c>
      <c r="S8">
        <v>10</v>
      </c>
      <c r="V8" s="29"/>
      <c r="W8" t="str">
        <f>IF(OR(COUNTIF(D4:D13, 2) &gt;= 2, COUNTIF(E4:E13, 3) &gt;= 1), "Impaired in Family", IF(SUM(B4:E13) / COUNTIF(F4:F13, "&lt;&gt;na") &gt;= 1.5, "Impaired in Family", "Not Impaired in Family"))</f>
        <v>Not Impaired in Family</v>
      </c>
      <c r="X8" s="29" t="str">
        <f>IF(W8=" Impaired in Family",
   "Your responses suggest that ADHD symptoms may be affecting your child's relationships or interactions within the family.",
IF(SUM(B4:E13) / COUNTIF(F4:F13, "&lt;&gt;na") &gt;= 1.5,
   "Your responses suggest that ADHD symptoms may be affecting your child's relationships or interactions within the family.",
   "It’s reassuring to see that your child’s symptoms don’t appear to be affecting family life. Maintaining healthy routines and open communication can help keep things on track.")
)</f>
        <v>It’s reassuring to see that your child’s symptoms don’t appear to be affecting family life. Maintaining healthy routines and open communication can help keep things on track.</v>
      </c>
      <c r="AB8" s="30" t="s">
        <v>246</v>
      </c>
      <c r="AC8" s="45" t="s">
        <v>217</v>
      </c>
    </row>
    <row r="9" spans="1:29" ht="54.75" customHeight="1">
      <c r="A9" s="176" t="s">
        <v>246</v>
      </c>
      <c r="B9" s="124"/>
      <c r="C9" s="175">
        <v>1</v>
      </c>
      <c r="D9" s="98"/>
      <c r="E9" s="98"/>
      <c r="F9" s="98"/>
      <c r="G9" s="98" t="str">
        <f>VLOOKUP(A9,QuestionsWeiss,2,FALSE)</f>
        <v>Family</v>
      </c>
      <c r="H9" s="124">
        <f t="shared" si="0"/>
        <v>1</v>
      </c>
      <c r="I9" s="269"/>
      <c r="J9" s="268"/>
      <c r="Q9" t="s">
        <v>311</v>
      </c>
      <c r="S9">
        <v>10</v>
      </c>
      <c r="W9" t="str">
        <f>IF(OR(COUNTIF(D44:D53, 2) &gt;= 2, COUNTIF(E44:E53, 3) &gt;= 1), "Impaired in RISKY ACTIVITIES", IF(SUM(B44:E53) / COUNTIF(F44:F53, "&lt;&gt;na") &gt;= 1.5, "Impaired in RISKY ACTIVITIES", "Not Impaired in RISKY ACTIVITIES"))</f>
        <v>Not Impaired in RISKY ACTIVITIES</v>
      </c>
      <c r="X9" s="29" t="str">
        <f>IF(W9=" Impaired Risk",
   "Your responses suggest concern around risk-taking or impulsive behaviour. It's important to work with a health professional to ensure your child’s environment is as safe and supportive as possible.",
   "It’s good to see that risk-taking or impulsivity isn’t a major concern. Maintaining structure and supervision can help reduce future risks as your child grows.")</f>
        <v>It’s good to see that risk-taking or impulsivity isn’t a major concern. Maintaining structure and supervision can help reduce future risks as your child grows.</v>
      </c>
      <c r="AB9" s="30" t="s">
        <v>248</v>
      </c>
      <c r="AC9" s="45" t="s">
        <v>217</v>
      </c>
    </row>
    <row r="10" spans="1:29" ht="45.75">
      <c r="A10" s="177" t="s">
        <v>248</v>
      </c>
      <c r="B10" s="124"/>
      <c r="C10" s="175">
        <v>1</v>
      </c>
      <c r="D10" s="175"/>
      <c r="E10" s="175"/>
      <c r="F10" s="175"/>
      <c r="G10" s="98" t="str">
        <f>VLOOKUP(A10,QuestionsWeiss,2,FALSE)</f>
        <v>Family</v>
      </c>
      <c r="H10" s="124">
        <f t="shared" si="0"/>
        <v>1</v>
      </c>
      <c r="I10" s="269"/>
      <c r="J10" s="268"/>
      <c r="Q10" t="s">
        <v>345</v>
      </c>
      <c r="S10">
        <v>6</v>
      </c>
      <c r="W10" t="str">
        <f>IF(OR(COUNTIF(D18:D23, 2) &gt;= 2, COUNTIF(E18:E23, 3) &gt;= 1), "Impaired in school Behaviour", IF(SUM(B18:E23) / COUNTIF(F18:F23, "&lt;&gt;na") &gt;= 1.5, "Impaired in school Behaviour", "Not Impaired in school Behaviour"))</f>
        <v>Not Impaired in school Behaviour</v>
      </c>
      <c r="X10" s="29" t="str">
        <f>IF(W10="Impaired School Behaviour",
   "Your responses suggest that ADHD symptoms may be affecting your child’s ability to complete work or tasks.",
   "It appears your child is managing well with their work or tasks. This is a positive sign — keep encouraging routines and habits that support focus and organisation.")</f>
        <v>It appears your child is managing well with their work or tasks. This is a positive sign — keep encouraging routines and habits that support focus and organisation.</v>
      </c>
      <c r="AB10" s="30" t="s">
        <v>268</v>
      </c>
      <c r="AC10" s="45" t="s">
        <v>217</v>
      </c>
    </row>
    <row r="11" spans="1:29" ht="30.75">
      <c r="A11" s="177" t="s">
        <v>268</v>
      </c>
      <c r="B11" s="124"/>
      <c r="C11" s="175">
        <v>1</v>
      </c>
      <c r="D11" s="98"/>
      <c r="E11" s="98"/>
      <c r="F11" s="98"/>
      <c r="G11" s="98" t="str">
        <f>VLOOKUP(A11,QuestionsWeiss,2,FALSE)</f>
        <v>Family</v>
      </c>
      <c r="H11" s="124">
        <f t="shared" si="0"/>
        <v>1</v>
      </c>
      <c r="I11" s="269"/>
      <c r="J11" s="268"/>
      <c r="Q11" t="s">
        <v>295</v>
      </c>
      <c r="S11">
        <v>7</v>
      </c>
      <c r="W11" t="str">
        <f>IF(OR(COUNTIF(D37:D43, 2) &gt;= 2, COUNTIF(E37:E43, 3) &gt;= 1), "Impaired in social Activities", IF(SUM(B37:E43) / COUNTIF(F37:F43, "&lt;&gt;na") &gt;= 1.5, "Impaired in social Activities", "Not Impaired in social Activities"))</f>
        <v>Not Impaired in social Activities</v>
      </c>
      <c r="X11" s="29" t="str">
        <f>IF(W11="Impaired Social",
   "Your child may be facing difficulties in social situations, such as making or keeping friends. ADHD can affect communication and peer interactions, but social skills support can make a big difference.",
   "Your child seems to be doing well socially, which is a great sign. Positive peer relationships can help reinforce healthy development.")</f>
        <v>Your child seems to be doing well socially, which is a great sign. Positive peer relationships can help reinforce healthy development.</v>
      </c>
      <c r="AB11" s="30" t="s">
        <v>252</v>
      </c>
      <c r="AC11" s="45" t="s">
        <v>217</v>
      </c>
    </row>
    <row r="12" spans="1:29" ht="30.75">
      <c r="A12" s="177" t="s">
        <v>252</v>
      </c>
      <c r="B12" s="124"/>
      <c r="C12" s="175">
        <v>1</v>
      </c>
      <c r="D12" s="175"/>
      <c r="E12" s="175"/>
      <c r="F12" s="175"/>
      <c r="G12" s="98" t="str">
        <f>VLOOKUP(A12,QuestionsWeiss,2,FALSE)</f>
        <v>Family</v>
      </c>
      <c r="H12" s="124">
        <f t="shared" si="0"/>
        <v>1</v>
      </c>
      <c r="I12" s="269"/>
      <c r="J12" s="268"/>
      <c r="Q12" t="s">
        <v>346</v>
      </c>
      <c r="R12">
        <v>1</v>
      </c>
      <c r="S12">
        <v>1</v>
      </c>
      <c r="T12">
        <v>1</v>
      </c>
      <c r="U12">
        <v>1</v>
      </c>
      <c r="AB12" s="30" t="s">
        <v>222</v>
      </c>
      <c r="AC12" s="45" t="s">
        <v>217</v>
      </c>
    </row>
    <row r="13" spans="1:29">
      <c r="A13" s="178" t="s">
        <v>222</v>
      </c>
      <c r="B13" s="124"/>
      <c r="C13" s="175">
        <v>1</v>
      </c>
      <c r="D13" s="98"/>
      <c r="E13" s="98"/>
      <c r="F13" s="98" t="s">
        <v>216</v>
      </c>
      <c r="G13" s="98" t="str">
        <f>VLOOKUP(A13,QuestionsWeiss,2,FALSE)</f>
        <v>Family</v>
      </c>
      <c r="H13" s="124">
        <f t="shared" si="0"/>
        <v>1</v>
      </c>
      <c r="I13" s="269"/>
      <c r="J13" s="268"/>
      <c r="Q13" t="s">
        <v>347</v>
      </c>
      <c r="R13">
        <v>1</v>
      </c>
      <c r="S13">
        <v>51</v>
      </c>
      <c r="T13">
        <v>1</v>
      </c>
      <c r="U13">
        <v>1</v>
      </c>
      <c r="AB13" s="45" t="s">
        <v>344</v>
      </c>
      <c r="AC13" s="45" t="s">
        <v>344</v>
      </c>
    </row>
    <row r="14" spans="1:29" ht="19.5">
      <c r="A14" s="176" t="s">
        <v>258</v>
      </c>
      <c r="B14" s="124"/>
      <c r="C14" s="175">
        <v>1</v>
      </c>
      <c r="D14" s="175"/>
      <c r="E14" s="175"/>
      <c r="F14" s="98" t="s">
        <v>216</v>
      </c>
      <c r="G14" s="98" t="str">
        <f>VLOOKUP(A14,QuestionsWeiss,2,FALSE)</f>
        <v xml:space="preserve"> SCHOOL Learning</v>
      </c>
      <c r="H14" s="124">
        <f t="shared" si="0"/>
        <v>1</v>
      </c>
      <c r="I14" s="270">
        <f>COUNTIFS(G14:G17," SCHOOL Learning")</f>
        <v>4</v>
      </c>
      <c r="J14" s="268">
        <f>SUM(B14:F17)/I14</f>
        <v>1</v>
      </c>
      <c r="K14" t="s">
        <v>348</v>
      </c>
      <c r="AB14" s="45"/>
      <c r="AC14" s="45" t="s">
        <v>344</v>
      </c>
    </row>
    <row r="15" spans="1:29" ht="45.75">
      <c r="A15" s="177" t="s">
        <v>234</v>
      </c>
      <c r="B15" s="124"/>
      <c r="C15" s="175">
        <v>1</v>
      </c>
      <c r="D15" s="98"/>
      <c r="E15" s="98"/>
      <c r="F15" s="98" t="s">
        <v>216</v>
      </c>
      <c r="G15" s="98" t="str">
        <f>VLOOKUP(A15,QuestionsWeiss,2,FALSE)</f>
        <v xml:space="preserve"> SCHOOL Learning</v>
      </c>
      <c r="H15" s="124">
        <f t="shared" si="0"/>
        <v>1</v>
      </c>
      <c r="I15" s="270"/>
      <c r="J15" s="268"/>
      <c r="AB15" s="30" t="s">
        <v>258</v>
      </c>
      <c r="AC15" s="45" t="s">
        <v>344</v>
      </c>
    </row>
    <row r="16" spans="1:29" ht="30.75">
      <c r="A16" s="179" t="s">
        <v>244</v>
      </c>
      <c r="B16" s="124"/>
      <c r="C16" s="175">
        <v>1</v>
      </c>
      <c r="D16" s="175"/>
      <c r="E16" s="175"/>
      <c r="F16" s="175"/>
      <c r="G16" s="98" t="str">
        <f>VLOOKUP(A16,QuestionsWeiss,2,FALSE)</f>
        <v xml:space="preserve"> SCHOOL Learning</v>
      </c>
      <c r="H16" s="124">
        <f t="shared" si="0"/>
        <v>1</v>
      </c>
      <c r="I16" s="270"/>
      <c r="J16" s="268"/>
      <c r="AB16" s="30" t="s">
        <v>234</v>
      </c>
      <c r="AC16" s="45" t="s">
        <v>344</v>
      </c>
    </row>
    <row r="17" spans="1:29">
      <c r="A17" s="177" t="s">
        <v>236</v>
      </c>
      <c r="B17" s="124"/>
      <c r="C17" s="175">
        <v>1</v>
      </c>
      <c r="D17" s="98"/>
      <c r="E17" s="98"/>
      <c r="F17" s="98"/>
      <c r="G17" s="98" t="str">
        <f>VLOOKUP(A17,QuestionsWeiss,2,FALSE)</f>
        <v xml:space="preserve"> SCHOOL Learning</v>
      </c>
      <c r="H17" s="124">
        <f t="shared" si="0"/>
        <v>1</v>
      </c>
      <c r="I17" s="270"/>
      <c r="J17" s="268"/>
      <c r="AB17" s="30" t="s">
        <v>244</v>
      </c>
      <c r="AC17" s="45" t="s">
        <v>344</v>
      </c>
    </row>
    <row r="18" spans="1:29" ht="45.75">
      <c r="A18" s="178" t="s">
        <v>226</v>
      </c>
      <c r="B18" s="124"/>
      <c r="C18" s="175">
        <v>1</v>
      </c>
      <c r="D18" s="175"/>
      <c r="E18" s="175"/>
      <c r="F18" s="175"/>
      <c r="G18" s="98" t="str">
        <f>VLOOKUP(A18,QuestionsWeiss,2,FALSE)</f>
        <v>SCHOOL Behaviour</v>
      </c>
      <c r="H18" s="124">
        <f t="shared" si="0"/>
        <v>1</v>
      </c>
      <c r="I18" s="269">
        <f>COUNTIFS(G18:G23,"SCHOOL Behaviour")</f>
        <v>6</v>
      </c>
      <c r="J18" s="268">
        <f>SUM(B18:F23)/I18</f>
        <v>1</v>
      </c>
      <c r="K18" t="s">
        <v>348</v>
      </c>
      <c r="AB18" s="30" t="s">
        <v>236</v>
      </c>
      <c r="AC18" s="45" t="s">
        <v>344</v>
      </c>
    </row>
    <row r="19" spans="1:29" ht="19.5">
      <c r="A19" s="176" t="s">
        <v>266</v>
      </c>
      <c r="B19" s="124"/>
      <c r="C19" s="175">
        <v>1</v>
      </c>
      <c r="D19" s="98"/>
      <c r="E19" s="98"/>
      <c r="F19" s="98"/>
      <c r="G19" s="98" t="str">
        <f>VLOOKUP(A19,QuestionsWeiss,2,FALSE)</f>
        <v>SCHOOL Behaviour</v>
      </c>
      <c r="H19" s="124">
        <f t="shared" si="0"/>
        <v>1</v>
      </c>
      <c r="I19" s="269"/>
      <c r="J19" s="268"/>
      <c r="AB19" s="46"/>
      <c r="AC19" s="46" t="s">
        <v>345</v>
      </c>
    </row>
    <row r="20" spans="1:29" ht="45.75">
      <c r="A20" s="177" t="s">
        <v>260</v>
      </c>
      <c r="B20" s="124"/>
      <c r="C20" s="175">
        <v>1</v>
      </c>
      <c r="D20" s="175"/>
      <c r="E20" s="175"/>
      <c r="F20" s="175"/>
      <c r="G20" s="98" t="str">
        <f>VLOOKUP(A20,QuestionsWeiss,2,FALSE)</f>
        <v>SCHOOL Behaviour</v>
      </c>
      <c r="H20" s="124">
        <f t="shared" si="0"/>
        <v>1</v>
      </c>
      <c r="I20" s="269"/>
      <c r="J20" s="268"/>
      <c r="AB20" s="30" t="s">
        <v>226</v>
      </c>
      <c r="AC20" s="46" t="s">
        <v>345</v>
      </c>
    </row>
    <row r="21" spans="1:29" ht="45.75">
      <c r="A21" s="177" t="s">
        <v>224</v>
      </c>
      <c r="B21" s="124"/>
      <c r="C21" s="175">
        <v>1</v>
      </c>
      <c r="D21" s="98"/>
      <c r="E21" s="98"/>
      <c r="F21" s="98"/>
      <c r="G21" s="98" t="str">
        <f>VLOOKUP(A21,QuestionsWeiss,2,FALSE)</f>
        <v>SCHOOL Behaviour</v>
      </c>
      <c r="H21" s="124">
        <f t="shared" si="0"/>
        <v>1</v>
      </c>
      <c r="I21" s="269"/>
      <c r="J21" s="268"/>
      <c r="AB21" s="30" t="s">
        <v>266</v>
      </c>
      <c r="AC21" s="46" t="s">
        <v>345</v>
      </c>
    </row>
    <row r="22" spans="1:29" ht="30.75">
      <c r="A22" s="177" t="s">
        <v>232</v>
      </c>
      <c r="B22" s="124"/>
      <c r="C22" s="175">
        <v>1</v>
      </c>
      <c r="D22" s="175"/>
      <c r="E22" s="175"/>
      <c r="F22" s="175"/>
      <c r="G22" s="98" t="str">
        <f>VLOOKUP(A22,QuestionsWeiss,2,FALSE)</f>
        <v>SCHOOL Behaviour</v>
      </c>
      <c r="H22" s="124">
        <f t="shared" si="0"/>
        <v>1</v>
      </c>
      <c r="I22" s="269"/>
      <c r="J22" s="268"/>
      <c r="AB22" s="30" t="s">
        <v>260</v>
      </c>
      <c r="AC22" s="46" t="s">
        <v>345</v>
      </c>
    </row>
    <row r="23" spans="1:29" ht="30.75">
      <c r="A23" s="178" t="s">
        <v>242</v>
      </c>
      <c r="B23" s="124"/>
      <c r="C23" s="175">
        <v>1</v>
      </c>
      <c r="D23" s="109"/>
      <c r="E23" s="109"/>
      <c r="F23" s="98"/>
      <c r="G23" s="98" t="str">
        <f>VLOOKUP(A23,QuestionsWeiss,2,FALSE)</f>
        <v>SCHOOL Behaviour</v>
      </c>
      <c r="H23" s="124">
        <f t="shared" si="0"/>
        <v>1</v>
      </c>
      <c r="I23" s="269"/>
      <c r="J23" s="268"/>
      <c r="AB23" s="30" t="s">
        <v>224</v>
      </c>
      <c r="AC23" s="46" t="s">
        <v>345</v>
      </c>
    </row>
    <row r="24" spans="1:29" ht="30.75">
      <c r="A24" s="176" t="s">
        <v>230</v>
      </c>
      <c r="B24" s="186"/>
      <c r="C24" s="175">
        <v>1</v>
      </c>
      <c r="D24" s="175"/>
      <c r="E24" s="175"/>
      <c r="F24" s="185"/>
      <c r="G24" s="98" t="str">
        <f>VLOOKUP(A24,QuestionsWeiss,2,FALSE)</f>
        <v xml:space="preserve"> LIFE SKILLS</v>
      </c>
      <c r="H24" s="124">
        <f t="shared" si="0"/>
        <v>1</v>
      </c>
      <c r="I24" s="269">
        <f>COUNTIFS(G24:G33," LIFE SKILLS")</f>
        <v>10</v>
      </c>
      <c r="J24" s="268">
        <f>SUM(B24:F33)/I24</f>
        <v>1</v>
      </c>
      <c r="K24" t="s">
        <v>349</v>
      </c>
      <c r="AB24" s="30" t="s">
        <v>232</v>
      </c>
      <c r="AC24" s="46" t="s">
        <v>345</v>
      </c>
    </row>
    <row r="25" spans="1:29" ht="30.75">
      <c r="A25" s="177" t="s">
        <v>238</v>
      </c>
      <c r="B25" s="186"/>
      <c r="C25" s="175">
        <v>1</v>
      </c>
      <c r="D25" s="98"/>
      <c r="E25" s="98"/>
      <c r="F25" s="104"/>
      <c r="G25" s="98" t="str">
        <f>VLOOKUP(A25,QuestionsWeiss,2,FALSE)</f>
        <v xml:space="preserve"> LIFE SKILLS</v>
      </c>
      <c r="H25" s="124">
        <f t="shared" si="0"/>
        <v>1</v>
      </c>
      <c r="I25" s="269"/>
      <c r="J25" s="268"/>
      <c r="AB25" s="30" t="s">
        <v>242</v>
      </c>
      <c r="AC25" s="46" t="s">
        <v>345</v>
      </c>
    </row>
    <row r="26" spans="1:29">
      <c r="A26" s="177" t="s">
        <v>256</v>
      </c>
      <c r="B26" s="186"/>
      <c r="C26" s="175">
        <v>1</v>
      </c>
      <c r="D26" s="98"/>
      <c r="E26" s="175"/>
      <c r="F26" s="185"/>
      <c r="G26" s="98" t="str">
        <f>VLOOKUP(A26,QuestionsWeiss,2,FALSE)</f>
        <v xml:space="preserve"> LIFE SKILLS</v>
      </c>
      <c r="H26" s="124">
        <f t="shared" si="0"/>
        <v>1</v>
      </c>
      <c r="I26" s="269"/>
      <c r="J26" s="268"/>
      <c r="AB26" s="45" t="s">
        <v>265</v>
      </c>
      <c r="AC26" s="45" t="s">
        <v>265</v>
      </c>
    </row>
    <row r="27" spans="1:29" ht="45.75">
      <c r="A27" s="177" t="s">
        <v>254</v>
      </c>
      <c r="B27" s="186"/>
      <c r="C27" s="175">
        <v>1</v>
      </c>
      <c r="D27" s="98"/>
      <c r="E27" s="98"/>
      <c r="F27" s="104"/>
      <c r="G27" s="98" t="str">
        <f>VLOOKUP(A27,QuestionsWeiss,2,FALSE)</f>
        <v xml:space="preserve"> LIFE SKILLS</v>
      </c>
      <c r="H27" s="124">
        <f t="shared" si="0"/>
        <v>1</v>
      </c>
      <c r="I27" s="269"/>
      <c r="J27" s="268"/>
      <c r="AB27" s="30" t="s">
        <v>230</v>
      </c>
      <c r="AC27" s="45" t="s">
        <v>265</v>
      </c>
    </row>
    <row r="28" spans="1:29" ht="60.75">
      <c r="A28" s="178" t="s">
        <v>228</v>
      </c>
      <c r="B28" s="186"/>
      <c r="C28" s="175">
        <v>1</v>
      </c>
      <c r="D28" s="175"/>
      <c r="E28" s="98"/>
      <c r="F28" s="185" t="s">
        <v>216</v>
      </c>
      <c r="G28" s="98" t="str">
        <f>VLOOKUP(A28,QuestionsWeiss,2,FALSE)</f>
        <v xml:space="preserve"> LIFE SKILLS</v>
      </c>
      <c r="H28" s="124">
        <f>SUM(B28:F28)</f>
        <v>1</v>
      </c>
      <c r="I28" s="269"/>
      <c r="J28" s="268"/>
      <c r="AB28" s="30" t="s">
        <v>350</v>
      </c>
      <c r="AC28" s="45" t="s">
        <v>265</v>
      </c>
    </row>
    <row r="29" spans="1:29" ht="30.75">
      <c r="A29" s="176" t="s">
        <v>262</v>
      </c>
      <c r="B29" s="124"/>
      <c r="C29" s="175">
        <v>1</v>
      </c>
      <c r="D29" s="187"/>
      <c r="E29" s="145"/>
      <c r="F29" s="104" t="s">
        <v>216</v>
      </c>
      <c r="G29" s="98" t="str">
        <f>VLOOKUP(A29,QuestionsWeiss,2,FALSE)</f>
        <v xml:space="preserve"> LIFE SKILLS</v>
      </c>
      <c r="H29" s="124">
        <f>SUM(B29:F29)</f>
        <v>1</v>
      </c>
      <c r="I29" s="269"/>
      <c r="J29" s="268"/>
      <c r="AB29" s="30" t="s">
        <v>256</v>
      </c>
      <c r="AC29" s="45" t="s">
        <v>265</v>
      </c>
    </row>
    <row r="30" spans="1:29" ht="30.75">
      <c r="A30" s="177" t="s">
        <v>280</v>
      </c>
      <c r="B30" s="124"/>
      <c r="C30" s="175">
        <v>1</v>
      </c>
      <c r="D30" s="175"/>
      <c r="E30" s="184"/>
      <c r="F30" s="175"/>
      <c r="G30" s="98" t="str">
        <f>VLOOKUP(A30,QuestionsWeiss,2,FALSE)</f>
        <v xml:space="preserve"> LIFE SKILLS</v>
      </c>
      <c r="H30" s="124">
        <f t="shared" si="0"/>
        <v>1</v>
      </c>
      <c r="I30" s="269"/>
      <c r="J30" s="268"/>
      <c r="AB30" s="30" t="s">
        <v>254</v>
      </c>
      <c r="AC30" s="45" t="s">
        <v>265</v>
      </c>
    </row>
    <row r="31" spans="1:29" ht="30.75">
      <c r="A31" s="179" t="s">
        <v>272</v>
      </c>
      <c r="B31" s="124"/>
      <c r="C31" s="175">
        <v>1</v>
      </c>
      <c r="D31" s="98"/>
      <c r="E31" s="98"/>
      <c r="F31" s="98"/>
      <c r="G31" s="98" t="str">
        <f>VLOOKUP(A31,QuestionsWeiss,2,FALSE)</f>
        <v xml:space="preserve"> LIFE SKILLS</v>
      </c>
      <c r="H31" s="124">
        <f t="shared" si="0"/>
        <v>1</v>
      </c>
      <c r="I31" s="269"/>
      <c r="J31" s="268"/>
      <c r="AB31" s="30" t="s">
        <v>228</v>
      </c>
      <c r="AC31" s="45" t="s">
        <v>265</v>
      </c>
    </row>
    <row r="32" spans="1:29">
      <c r="A32" s="177" t="s">
        <v>288</v>
      </c>
      <c r="B32" s="124"/>
      <c r="C32" s="175">
        <v>1</v>
      </c>
      <c r="D32" s="175"/>
      <c r="E32" s="175"/>
      <c r="F32" s="175"/>
      <c r="G32" s="98" t="str">
        <f>VLOOKUP(A32,QuestionsWeiss,2,FALSE)</f>
        <v xml:space="preserve"> LIFE SKILLS</v>
      </c>
      <c r="H32" s="124">
        <f t="shared" si="0"/>
        <v>1</v>
      </c>
      <c r="I32" s="269"/>
      <c r="J32" s="268"/>
      <c r="AB32" s="30" t="s">
        <v>262</v>
      </c>
      <c r="AC32" s="45" t="s">
        <v>265</v>
      </c>
    </row>
    <row r="33" spans="1:29" ht="30.75">
      <c r="A33" s="178" t="s">
        <v>351</v>
      </c>
      <c r="B33" s="124"/>
      <c r="C33" s="175">
        <v>1</v>
      </c>
      <c r="D33" s="98"/>
      <c r="E33" s="98"/>
      <c r="F33" s="98"/>
      <c r="G33" s="98" t="str">
        <f>VLOOKUP(A33,QuestionsWeiss,2,FALSE)</f>
        <v xml:space="preserve"> LIFE SKILLS</v>
      </c>
      <c r="H33" s="124">
        <f t="shared" si="0"/>
        <v>1</v>
      </c>
      <c r="I33" s="269"/>
      <c r="J33" s="268"/>
      <c r="AB33" s="30" t="s">
        <v>280</v>
      </c>
      <c r="AC33" s="45" t="s">
        <v>265</v>
      </c>
    </row>
    <row r="34" spans="1:29" ht="19.5">
      <c r="A34" s="176" t="s">
        <v>296</v>
      </c>
      <c r="B34" s="124"/>
      <c r="C34" s="175">
        <v>1</v>
      </c>
      <c r="D34" s="175"/>
      <c r="E34" s="175"/>
      <c r="F34" s="175"/>
      <c r="G34" s="98" t="str">
        <f>VLOOKUP(A34,QuestionsWeiss,2,FALSE)</f>
        <v xml:space="preserve"> CHILD'S SELF-CONCEPT</v>
      </c>
      <c r="H34" s="124">
        <f t="shared" si="0"/>
        <v>1</v>
      </c>
      <c r="I34" s="269">
        <f>COUNTIFS(G34:G36," CHILD'S SELF-CONCEPT")</f>
        <v>3</v>
      </c>
      <c r="J34" s="268">
        <f>SUM(B34:E36)/I34</f>
        <v>1</v>
      </c>
      <c r="K34" t="s">
        <v>352</v>
      </c>
      <c r="AB34" s="30" t="s">
        <v>272</v>
      </c>
      <c r="AC34" s="45" t="s">
        <v>265</v>
      </c>
    </row>
    <row r="35" spans="1:29" ht="30.75">
      <c r="A35" s="177" t="s">
        <v>290</v>
      </c>
      <c r="B35" s="124"/>
      <c r="C35" s="175">
        <v>1</v>
      </c>
      <c r="D35" s="98"/>
      <c r="E35" s="98"/>
      <c r="F35" s="98"/>
      <c r="G35" s="98" t="str">
        <f>VLOOKUP(A35,QuestionsWeiss,2,FALSE)</f>
        <v xml:space="preserve"> CHILD'S SELF-CONCEPT</v>
      </c>
      <c r="H35" s="124">
        <f t="shared" si="0"/>
        <v>1</v>
      </c>
      <c r="I35" s="269"/>
      <c r="J35" s="268"/>
      <c r="AB35" s="30" t="s">
        <v>288</v>
      </c>
      <c r="AC35" s="45" t="s">
        <v>265</v>
      </c>
    </row>
    <row r="36" spans="1:29" ht="60.75">
      <c r="A36" s="177" t="s">
        <v>292</v>
      </c>
      <c r="B36" s="124"/>
      <c r="C36" s="175">
        <v>1</v>
      </c>
      <c r="D36" s="175"/>
      <c r="E36" s="175"/>
      <c r="F36" s="175"/>
      <c r="G36" s="98" t="str">
        <f>VLOOKUP(A36,QuestionsWeiss,2,FALSE)</f>
        <v xml:space="preserve"> CHILD'S SELF-CONCEPT</v>
      </c>
      <c r="H36" s="124">
        <f t="shared" si="0"/>
        <v>1</v>
      </c>
      <c r="I36" s="269"/>
      <c r="J36" s="268"/>
      <c r="AB36" s="30" t="s">
        <v>351</v>
      </c>
      <c r="AC36" s="45" t="s">
        <v>265</v>
      </c>
    </row>
    <row r="37" spans="1:29" ht="30.75">
      <c r="A37" s="177" t="s">
        <v>274</v>
      </c>
      <c r="B37" s="124"/>
      <c r="C37" s="175">
        <v>1</v>
      </c>
      <c r="D37" s="98"/>
      <c r="E37" s="98"/>
      <c r="F37" s="98"/>
      <c r="G37" s="98" t="str">
        <f>VLOOKUP(A37,QuestionsWeiss,2,FALSE)</f>
        <v>SOCIAL ACTIVITIES</v>
      </c>
      <c r="H37" s="124">
        <f t="shared" si="0"/>
        <v>1</v>
      </c>
      <c r="I37" s="269">
        <f>COUNTIFS(G37:G43,"SOCIAL ACTIVITIES")</f>
        <v>7</v>
      </c>
      <c r="J37" s="268">
        <f>SUM(B37:F43)/I37</f>
        <v>1</v>
      </c>
      <c r="K37" t="s">
        <v>353</v>
      </c>
      <c r="AB37" s="45"/>
      <c r="AC37" s="45" t="s">
        <v>287</v>
      </c>
    </row>
    <row r="38" spans="1:29" ht="30.75">
      <c r="A38" s="178" t="s">
        <v>276</v>
      </c>
      <c r="B38" s="124"/>
      <c r="C38" s="175">
        <v>1</v>
      </c>
      <c r="D38" s="175"/>
      <c r="E38" s="175"/>
      <c r="F38" s="175"/>
      <c r="G38" s="98" t="str">
        <f>VLOOKUP(A38,QuestionsWeiss,2,FALSE)</f>
        <v>SOCIAL ACTIVITIES</v>
      </c>
      <c r="H38" s="124">
        <f t="shared" si="0"/>
        <v>1</v>
      </c>
      <c r="I38" s="269"/>
      <c r="J38" s="268"/>
      <c r="AB38" s="30" t="s">
        <v>296</v>
      </c>
      <c r="AC38" s="45" t="s">
        <v>287</v>
      </c>
    </row>
    <row r="39" spans="1:29" ht="30.75">
      <c r="A39" s="176" t="s">
        <v>282</v>
      </c>
      <c r="B39" s="124"/>
      <c r="C39" s="175">
        <v>1</v>
      </c>
      <c r="D39" s="98"/>
      <c r="E39" s="98"/>
      <c r="F39" s="98"/>
      <c r="G39" s="98" t="str">
        <f>VLOOKUP(A39,QuestionsWeiss,2,FALSE)</f>
        <v>SOCIAL ACTIVITIES</v>
      </c>
      <c r="H39" s="124">
        <f t="shared" si="0"/>
        <v>1</v>
      </c>
      <c r="I39" s="269"/>
      <c r="J39" s="268"/>
      <c r="AB39" s="30" t="s">
        <v>290</v>
      </c>
      <c r="AC39" s="45" t="s">
        <v>287</v>
      </c>
    </row>
    <row r="40" spans="1:29" ht="30.75">
      <c r="A40" s="177" t="s">
        <v>270</v>
      </c>
      <c r="B40" s="124"/>
      <c r="C40" s="175">
        <v>1</v>
      </c>
      <c r="D40" s="175"/>
      <c r="E40" s="175"/>
      <c r="F40" s="175"/>
      <c r="G40" s="98" t="str">
        <f>VLOOKUP(A40,QuestionsWeiss,2,FALSE)</f>
        <v>SOCIAL ACTIVITIES</v>
      </c>
      <c r="H40" s="124">
        <f t="shared" si="0"/>
        <v>1</v>
      </c>
      <c r="I40" s="269"/>
      <c r="J40" s="268"/>
      <c r="AB40" s="30" t="s">
        <v>292</v>
      </c>
      <c r="AC40" s="45" t="s">
        <v>287</v>
      </c>
    </row>
    <row r="41" spans="1:29">
      <c r="A41" s="177" t="s">
        <v>286</v>
      </c>
      <c r="B41" s="124"/>
      <c r="C41" s="175">
        <v>1</v>
      </c>
      <c r="D41" s="98"/>
      <c r="E41" s="98"/>
      <c r="F41" s="98"/>
      <c r="G41" s="98" t="str">
        <f>VLOOKUP(A41,QuestionsWeiss,2,FALSE)</f>
        <v>SOCIAL ACTIVITIES</v>
      </c>
      <c r="H41" s="124">
        <f t="shared" si="0"/>
        <v>1</v>
      </c>
      <c r="I41" s="269"/>
      <c r="J41" s="268"/>
      <c r="AB41" s="45"/>
      <c r="AC41" s="45" t="s">
        <v>295</v>
      </c>
    </row>
    <row r="42" spans="1:29" ht="30.75">
      <c r="A42" s="177" t="s">
        <v>284</v>
      </c>
      <c r="B42" s="124"/>
      <c r="C42" s="175">
        <v>1</v>
      </c>
      <c r="D42" s="175"/>
      <c r="E42" s="175"/>
      <c r="F42" s="175" t="s">
        <v>216</v>
      </c>
      <c r="G42" s="98" t="str">
        <f>VLOOKUP(A42,QuestionsWeiss,2,FALSE)</f>
        <v>SOCIAL ACTIVITIES</v>
      </c>
      <c r="H42" s="124">
        <f t="shared" si="0"/>
        <v>1</v>
      </c>
      <c r="I42" s="269"/>
      <c r="J42" s="268"/>
      <c r="AB42" s="30" t="s">
        <v>274</v>
      </c>
      <c r="AC42" s="45" t="s">
        <v>295</v>
      </c>
    </row>
    <row r="43" spans="1:29" ht="30.75">
      <c r="A43" s="178" t="s">
        <v>294</v>
      </c>
      <c r="B43" s="124"/>
      <c r="C43" s="175">
        <v>1</v>
      </c>
      <c r="D43" s="98"/>
      <c r="E43" s="98"/>
      <c r="F43" s="175" t="s">
        <v>216</v>
      </c>
      <c r="G43" s="98" t="str">
        <f>VLOOKUP(A43,QuestionsWeiss,2,FALSE)</f>
        <v>SOCIAL ACTIVITIES</v>
      </c>
      <c r="H43" s="124">
        <f t="shared" si="0"/>
        <v>1</v>
      </c>
      <c r="I43" s="269"/>
      <c r="J43" s="268"/>
      <c r="AB43" s="30" t="s">
        <v>276</v>
      </c>
      <c r="AC43" s="45" t="s">
        <v>295</v>
      </c>
    </row>
    <row r="44" spans="1:29" ht="30.75">
      <c r="A44" s="176" t="s">
        <v>310</v>
      </c>
      <c r="B44" s="124"/>
      <c r="C44" s="175">
        <v>1</v>
      </c>
      <c r="D44" s="175"/>
      <c r="E44" s="175"/>
      <c r="F44" s="175" t="s">
        <v>216</v>
      </c>
      <c r="G44" s="98" t="str">
        <f>VLOOKUP(A44,QuestionsWeiss,2,FALSE)</f>
        <v>RISKY ACTIVITIES</v>
      </c>
      <c r="H44" s="124">
        <f t="shared" si="0"/>
        <v>1</v>
      </c>
      <c r="I44" s="269">
        <f>COUNTIFS(G44:G53,"RISKY ACTIVITIES")</f>
        <v>10</v>
      </c>
      <c r="J44" s="268">
        <f>SUM(B44:F53)/I44</f>
        <v>1</v>
      </c>
      <c r="K44" t="s">
        <v>353</v>
      </c>
      <c r="AB44" s="30" t="s">
        <v>282</v>
      </c>
      <c r="AC44" s="45" t="s">
        <v>295</v>
      </c>
    </row>
    <row r="45" spans="1:29" ht="60.75">
      <c r="A45" s="177" t="s">
        <v>300</v>
      </c>
      <c r="B45" s="124"/>
      <c r="C45" s="175">
        <v>1</v>
      </c>
      <c r="D45" s="98"/>
      <c r="E45" s="98"/>
      <c r="F45" s="98"/>
      <c r="G45" s="98" t="str">
        <f>VLOOKUP(A45,QuestionsWeiss,2,FALSE)</f>
        <v>RISKY ACTIVITIES</v>
      </c>
      <c r="H45" s="124">
        <f t="shared" si="0"/>
        <v>1</v>
      </c>
      <c r="I45" s="269"/>
      <c r="J45" s="268"/>
      <c r="AB45" s="30" t="s">
        <v>270</v>
      </c>
      <c r="AC45" s="45" t="s">
        <v>295</v>
      </c>
    </row>
    <row r="46" spans="1:29" ht="30.75">
      <c r="A46" s="177" t="s">
        <v>304</v>
      </c>
      <c r="B46" s="124"/>
      <c r="C46" s="175">
        <v>1</v>
      </c>
      <c r="D46" s="175"/>
      <c r="E46" s="175"/>
      <c r="F46" s="175"/>
      <c r="G46" s="98" t="str">
        <f>VLOOKUP(A46,QuestionsWeiss,2,FALSE)</f>
        <v>RISKY ACTIVITIES</v>
      </c>
      <c r="H46" s="124">
        <f t="shared" si="0"/>
        <v>1</v>
      </c>
      <c r="I46" s="269"/>
      <c r="J46" s="268"/>
      <c r="AB46" s="30" t="s">
        <v>286</v>
      </c>
      <c r="AC46" s="45" t="s">
        <v>295</v>
      </c>
    </row>
    <row r="47" spans="1:29" ht="30.75">
      <c r="A47" s="177" t="s">
        <v>312</v>
      </c>
      <c r="B47" s="124"/>
      <c r="C47" s="175">
        <v>1</v>
      </c>
      <c r="D47" s="98"/>
      <c r="E47" s="98"/>
      <c r="F47" s="98"/>
      <c r="G47" s="98" t="str">
        <f>VLOOKUP(A47,QuestionsWeiss,2,FALSE)</f>
        <v>RISKY ACTIVITIES</v>
      </c>
      <c r="H47" s="124">
        <f t="shared" si="0"/>
        <v>1</v>
      </c>
      <c r="I47" s="269"/>
      <c r="J47" s="268"/>
      <c r="AB47" s="30" t="s">
        <v>284</v>
      </c>
      <c r="AC47" s="45" t="s">
        <v>295</v>
      </c>
    </row>
    <row r="48" spans="1:29" ht="45.75">
      <c r="A48" s="178" t="s">
        <v>298</v>
      </c>
      <c r="B48" s="124"/>
      <c r="C48" s="175">
        <v>1</v>
      </c>
      <c r="D48" s="175"/>
      <c r="E48" s="175"/>
      <c r="F48" s="175"/>
      <c r="G48" s="98" t="str">
        <f>VLOOKUP(A48,QuestionsWeiss,2,FALSE)</f>
        <v>RISKY ACTIVITIES</v>
      </c>
      <c r="H48" s="124">
        <f t="shared" si="0"/>
        <v>1</v>
      </c>
      <c r="I48" s="269"/>
      <c r="J48" s="268"/>
      <c r="AB48" s="30" t="s">
        <v>294</v>
      </c>
      <c r="AC48" s="45" t="s">
        <v>295</v>
      </c>
    </row>
    <row r="49" spans="1:29" ht="19.5">
      <c r="A49" s="176" t="s">
        <v>306</v>
      </c>
      <c r="B49" s="124"/>
      <c r="C49" s="175">
        <v>1</v>
      </c>
      <c r="D49" s="98"/>
      <c r="E49" s="98"/>
      <c r="F49" s="98"/>
      <c r="G49" s="98" t="str">
        <f>VLOOKUP(A49,QuestionsWeiss,2,FALSE)</f>
        <v>RISKY ACTIVITIES</v>
      </c>
      <c r="H49" s="124">
        <f t="shared" si="0"/>
        <v>1</v>
      </c>
      <c r="I49" s="269"/>
      <c r="J49" s="268"/>
      <c r="AB49" s="45"/>
      <c r="AC49" s="45" t="s">
        <v>311</v>
      </c>
    </row>
    <row r="50" spans="1:29" ht="45.75">
      <c r="A50" s="177" t="s">
        <v>302</v>
      </c>
      <c r="B50" s="124"/>
      <c r="C50" s="175">
        <v>1</v>
      </c>
      <c r="D50" s="175"/>
      <c r="E50" s="175"/>
      <c r="F50" s="175"/>
      <c r="G50" s="98" t="str">
        <f>VLOOKUP(A50,QuestionsWeiss,2,FALSE)</f>
        <v>RISKY ACTIVITIES</v>
      </c>
      <c r="H50" s="124">
        <f t="shared" si="0"/>
        <v>1</v>
      </c>
      <c r="I50" s="269"/>
      <c r="J50" s="268"/>
      <c r="AB50" s="30" t="s">
        <v>310</v>
      </c>
      <c r="AC50" s="45" t="s">
        <v>311</v>
      </c>
    </row>
    <row r="51" spans="1:29" ht="30.75">
      <c r="A51" s="177" t="s">
        <v>308</v>
      </c>
      <c r="B51" s="124"/>
      <c r="C51" s="175">
        <v>1</v>
      </c>
      <c r="D51" s="98"/>
      <c r="E51" s="98"/>
      <c r="F51" s="98"/>
      <c r="G51" s="98" t="str">
        <f>VLOOKUP(A51,QuestionsWeiss,2,FALSE)</f>
        <v>RISKY ACTIVITIES</v>
      </c>
      <c r="H51" s="124">
        <f t="shared" si="0"/>
        <v>1</v>
      </c>
      <c r="I51" s="269"/>
      <c r="J51" s="268"/>
      <c r="AB51" s="30" t="s">
        <v>300</v>
      </c>
      <c r="AC51" s="45" t="s">
        <v>311</v>
      </c>
    </row>
    <row r="52" spans="1:29" ht="30.75">
      <c r="A52" s="177" t="s">
        <v>314</v>
      </c>
      <c r="B52" s="124"/>
      <c r="C52" s="175">
        <v>1</v>
      </c>
      <c r="D52" s="175"/>
      <c r="E52" s="175"/>
      <c r="F52" s="175"/>
      <c r="G52" s="98" t="str">
        <f>VLOOKUP(A52,QuestionsWeiss,2,FALSE)</f>
        <v>RISKY ACTIVITIES</v>
      </c>
      <c r="H52" s="124">
        <f t="shared" si="0"/>
        <v>1</v>
      </c>
      <c r="I52" s="269"/>
      <c r="J52" s="268"/>
      <c r="AB52" s="30" t="s">
        <v>304</v>
      </c>
      <c r="AC52" s="45" t="s">
        <v>311</v>
      </c>
    </row>
    <row r="53" spans="1:29" ht="30.75">
      <c r="A53" s="178" t="s">
        <v>316</v>
      </c>
      <c r="B53" s="175"/>
      <c r="C53" s="175">
        <v>1</v>
      </c>
      <c r="D53" s="98"/>
      <c r="E53" s="98"/>
      <c r="F53" s="98"/>
      <c r="G53" s="98" t="str">
        <f>VLOOKUP(A53,QuestionsWeiss,2,FALSE)</f>
        <v>RISKY ACTIVITIES</v>
      </c>
      <c r="H53" s="124">
        <f t="shared" si="0"/>
        <v>1</v>
      </c>
      <c r="I53" s="269"/>
      <c r="J53" s="268"/>
      <c r="AB53" s="30" t="s">
        <v>312</v>
      </c>
      <c r="AC53" s="45" t="s">
        <v>311</v>
      </c>
    </row>
    <row r="54" spans="1:29">
      <c r="A54" s="28"/>
      <c r="B54" s="60"/>
      <c r="C54" s="28"/>
      <c r="D54" s="28"/>
      <c r="E54" s="28"/>
      <c r="F54" s="28"/>
      <c r="H54" s="5"/>
      <c r="AB54" s="30" t="s">
        <v>298</v>
      </c>
      <c r="AC54" s="45" t="s">
        <v>311</v>
      </c>
    </row>
    <row r="55" spans="1:29">
      <c r="A55" s="28"/>
      <c r="H55" s="5"/>
      <c r="AB55" s="30" t="s">
        <v>306</v>
      </c>
      <c r="AC55" s="45" t="s">
        <v>311</v>
      </c>
    </row>
    <row r="56" spans="1:29" ht="30.75">
      <c r="A56" s="28"/>
      <c r="C56" s="28"/>
      <c r="D56" s="28"/>
      <c r="E56" s="28"/>
      <c r="F56" s="28"/>
      <c r="H56" s="5"/>
      <c r="AB56" s="30" t="s">
        <v>302</v>
      </c>
      <c r="AC56" s="45" t="s">
        <v>311</v>
      </c>
    </row>
    <row r="57" spans="1:29">
      <c r="A57" s="28"/>
      <c r="H57" s="5"/>
      <c r="AB57" s="30" t="s">
        <v>308</v>
      </c>
      <c r="AC57" s="45" t="s">
        <v>311</v>
      </c>
    </row>
    <row r="58" spans="1:29" ht="30.75">
      <c r="A58" s="28"/>
      <c r="C58" s="28"/>
      <c r="D58" s="28"/>
      <c r="E58" s="28"/>
      <c r="F58" s="28"/>
      <c r="H58" s="5"/>
      <c r="AB58" s="30" t="s">
        <v>314</v>
      </c>
      <c r="AC58" s="45" t="s">
        <v>311</v>
      </c>
    </row>
    <row r="59" spans="1:29" ht="30.75">
      <c r="A59" s="28"/>
      <c r="H59" s="5"/>
      <c r="AB59" s="30" t="s">
        <v>316</v>
      </c>
      <c r="AC59" s="45" t="s">
        <v>311</v>
      </c>
    </row>
    <row r="60" spans="1:29">
      <c r="A60" s="28"/>
      <c r="C60" s="28"/>
      <c r="D60" s="28"/>
      <c r="E60" s="28"/>
      <c r="F60" s="28"/>
      <c r="H60" s="5"/>
    </row>
    <row r="61" spans="1:29">
      <c r="A61" s="28"/>
      <c r="C61" s="28"/>
      <c r="D61" s="28"/>
      <c r="E61" s="28"/>
      <c r="F61" s="28"/>
      <c r="H61" s="5"/>
    </row>
    <row r="62" spans="1:29">
      <c r="A62" s="28"/>
      <c r="C62" s="28"/>
      <c r="D62" s="28"/>
      <c r="E62" s="28"/>
      <c r="F62" s="28"/>
      <c r="H62" s="5"/>
    </row>
    <row r="63" spans="1:29">
      <c r="A63" s="28"/>
      <c r="C63" s="28"/>
      <c r="D63" s="28"/>
      <c r="E63" s="28"/>
      <c r="F63" s="28"/>
      <c r="H63" s="5"/>
    </row>
    <row r="64" spans="1:29">
      <c r="A64" s="28"/>
      <c r="C64" s="28"/>
      <c r="D64" s="28"/>
      <c r="E64" s="28"/>
      <c r="F64" s="28"/>
      <c r="H64" s="5"/>
    </row>
    <row r="65" spans="1:8">
      <c r="A65" s="28"/>
      <c r="C65" s="28"/>
      <c r="D65" s="28"/>
      <c r="E65" s="28"/>
      <c r="F65" s="28"/>
      <c r="H65" s="5"/>
    </row>
    <row r="66" spans="1:8">
      <c r="A66" s="28"/>
      <c r="C66" s="28"/>
      <c r="D66" s="28"/>
      <c r="E66" s="28"/>
      <c r="F66" s="28"/>
      <c r="H66" s="5"/>
    </row>
    <row r="67" spans="1:8">
      <c r="A67" s="28"/>
      <c r="C67" s="28"/>
      <c r="D67" s="28"/>
      <c r="E67" s="28"/>
      <c r="F67" s="28"/>
      <c r="H67" s="5"/>
    </row>
    <row r="68" spans="1:8">
      <c r="A68" s="28"/>
      <c r="C68" s="28"/>
      <c r="D68" s="28"/>
      <c r="E68" s="28"/>
      <c r="F68" s="28"/>
      <c r="H68" s="5"/>
    </row>
    <row r="69" spans="1:8">
      <c r="A69" s="28"/>
      <c r="C69" s="28"/>
      <c r="D69" s="28"/>
      <c r="E69" s="28"/>
      <c r="F69" s="28"/>
      <c r="H69" s="5"/>
    </row>
    <row r="70" spans="1:8">
      <c r="A70" s="28"/>
      <c r="C70" s="28"/>
      <c r="D70" s="28"/>
      <c r="E70" s="28"/>
      <c r="F70" s="28"/>
      <c r="H70" s="5"/>
    </row>
    <row r="71" spans="1:8">
      <c r="A71" s="28"/>
      <c r="C71" s="28"/>
      <c r="D71" s="28"/>
      <c r="E71" s="28"/>
      <c r="F71" s="28"/>
      <c r="H71" s="5"/>
    </row>
    <row r="72" spans="1:8">
      <c r="A72" s="28"/>
      <c r="C72" s="28"/>
      <c r="D72" s="28"/>
      <c r="E72" s="28"/>
      <c r="F72" s="28"/>
      <c r="H72" s="5"/>
    </row>
    <row r="73" spans="1:8">
      <c r="A73" s="28"/>
      <c r="C73" s="28"/>
      <c r="D73" s="28"/>
      <c r="E73" s="28"/>
      <c r="F73" s="28"/>
      <c r="H73" s="5"/>
    </row>
    <row r="74" spans="1:8">
      <c r="A74" s="28"/>
      <c r="H74" s="5"/>
    </row>
    <row r="75" spans="1:8">
      <c r="A75" s="28"/>
      <c r="C75" s="28"/>
      <c r="D75" s="28"/>
      <c r="E75" s="28"/>
      <c r="F75" s="28"/>
      <c r="H75" s="5"/>
    </row>
    <row r="76" spans="1:8">
      <c r="A76" s="28"/>
      <c r="C76" s="28"/>
      <c r="D76" s="28"/>
      <c r="E76" s="28"/>
      <c r="F76" s="28"/>
      <c r="H76" s="5"/>
    </row>
    <row r="77" spans="1:8">
      <c r="A77" s="28"/>
      <c r="C77" s="28"/>
      <c r="D77" s="28"/>
      <c r="E77" s="28"/>
      <c r="F77" s="28"/>
      <c r="H77" s="5"/>
    </row>
    <row r="78" spans="1:8">
      <c r="A78" s="28"/>
      <c r="C78" s="28"/>
      <c r="D78" s="28"/>
      <c r="E78" s="28"/>
      <c r="F78" s="28"/>
      <c r="H78" s="5"/>
    </row>
    <row r="79" spans="1:8">
      <c r="A79" s="28"/>
      <c r="C79" s="28"/>
      <c r="D79" s="28"/>
      <c r="E79" s="28"/>
      <c r="F79" s="28"/>
      <c r="H79" s="5"/>
    </row>
    <row r="80" spans="1:8">
      <c r="A80" s="28"/>
      <c r="C80" s="28"/>
      <c r="D80" s="28"/>
      <c r="E80" s="28"/>
      <c r="F80" s="28"/>
      <c r="H80" s="5"/>
    </row>
    <row r="81" spans="1:8">
      <c r="A81" s="28"/>
      <c r="C81" s="28"/>
      <c r="D81" s="28"/>
      <c r="E81" s="28"/>
      <c r="F81" s="28"/>
      <c r="H81" s="5"/>
    </row>
    <row r="82" spans="1:8">
      <c r="A82" s="28"/>
      <c r="C82" s="28"/>
      <c r="D82" s="28"/>
      <c r="E82" s="28"/>
      <c r="F82" s="28"/>
      <c r="H82" s="5"/>
    </row>
    <row r="83" spans="1:8">
      <c r="A83" s="28"/>
      <c r="B83" s="28"/>
      <c r="C83" s="28"/>
      <c r="D83" s="28"/>
      <c r="E83" s="28"/>
      <c r="F83" s="28"/>
      <c r="H83" s="5"/>
    </row>
  </sheetData>
  <autoFilter ref="A1:G83" xr:uid="{F55A520D-3F94-4371-8FBD-94DEBA33DB16}"/>
  <mergeCells count="14">
    <mergeCell ref="J24:J33"/>
    <mergeCell ref="J34:J36"/>
    <mergeCell ref="J37:J43"/>
    <mergeCell ref="J44:J53"/>
    <mergeCell ref="I4:I13"/>
    <mergeCell ref="J4:J13"/>
    <mergeCell ref="J14:J17"/>
    <mergeCell ref="J18:J23"/>
    <mergeCell ref="I44:I53"/>
    <mergeCell ref="I37:I43"/>
    <mergeCell ref="I34:I36"/>
    <mergeCell ref="I24:I33"/>
    <mergeCell ref="I18:I23"/>
    <mergeCell ref="I14:I1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939A4-4821-4CEB-A4B8-C62CFA14A5E2}">
  <dimension ref="A1:X57"/>
  <sheetViews>
    <sheetView topLeftCell="D46" workbookViewId="0">
      <selection activeCell="L58" sqref="L58"/>
    </sheetView>
  </sheetViews>
  <sheetFormatPr defaultRowHeight="15"/>
  <cols>
    <col min="3" max="3" width="52" style="29" customWidth="1"/>
    <col min="4" max="4" width="15.42578125" customWidth="1"/>
    <col min="5" max="5" width="18.140625" customWidth="1"/>
    <col min="7" max="7" width="25.42578125" customWidth="1"/>
    <col min="9" max="9" width="9.140625" style="29"/>
    <col min="11" max="11" width="24" customWidth="1"/>
    <col min="12" max="12" width="17.140625" customWidth="1"/>
    <col min="13" max="13" width="24.28515625" style="23" customWidth="1"/>
    <col min="14" max="14" width="20.7109375" customWidth="1"/>
    <col min="19" max="19" width="27" bestFit="1" customWidth="1"/>
    <col min="20" max="20" width="20.140625" bestFit="1" customWidth="1"/>
    <col min="21" max="21" width="49.28515625" customWidth="1"/>
    <col min="23" max="23" width="25.5703125" customWidth="1"/>
    <col min="24" max="24" width="21.42578125" style="23" customWidth="1"/>
  </cols>
  <sheetData>
    <row r="1" spans="1:24" s="42" customFormat="1" ht="30.75">
      <c r="A1" s="137"/>
      <c r="B1" s="137"/>
      <c r="C1" s="121" t="s">
        <v>354</v>
      </c>
      <c r="D1" s="137" t="s">
        <v>355</v>
      </c>
      <c r="E1" s="137" t="s">
        <v>356</v>
      </c>
      <c r="F1" s="137" t="s">
        <v>357</v>
      </c>
      <c r="G1" s="137" t="s">
        <v>358</v>
      </c>
      <c r="H1" s="137" t="s">
        <v>359</v>
      </c>
      <c r="I1" s="121" t="s">
        <v>360</v>
      </c>
      <c r="J1" s="137" t="s">
        <v>155</v>
      </c>
      <c r="K1" s="211" t="s">
        <v>361</v>
      </c>
      <c r="L1" s="137" t="s">
        <v>362</v>
      </c>
      <c r="M1" s="117" t="s">
        <v>363</v>
      </c>
      <c r="N1" s="43" t="s">
        <v>364</v>
      </c>
      <c r="W1" s="137" t="s">
        <v>81</v>
      </c>
      <c r="X1" s="117" t="s">
        <v>363</v>
      </c>
    </row>
    <row r="2" spans="1:24" ht="60.75">
      <c r="A2" s="98"/>
      <c r="B2" s="98">
        <v>1</v>
      </c>
      <c r="C2" s="112" t="s">
        <v>365</v>
      </c>
      <c r="D2" s="98"/>
      <c r="E2" s="98"/>
      <c r="F2" s="98">
        <v>2</v>
      </c>
      <c r="G2" s="98"/>
      <c r="H2" s="98"/>
      <c r="I2" s="112"/>
      <c r="J2" s="98"/>
      <c r="K2" s="115"/>
      <c r="L2" s="98"/>
      <c r="M2" s="125" t="str">
        <f>VLOOKUP(C2,vanderbilt_questionarrie,2,FALSE)</f>
        <v>Inattentive</v>
      </c>
      <c r="N2" s="273">
        <f>COUNTIFS(M2:M10, "Inattentive", F2:F10, 2) + COUNTIFS(M2:M10, "Inattentive", G2:G10, 3)</f>
        <v>9</v>
      </c>
      <c r="W2" s="112" t="s">
        <v>365</v>
      </c>
      <c r="X2" s="99" t="s">
        <v>366</v>
      </c>
    </row>
    <row r="3" spans="1:24" ht="45.75">
      <c r="A3" s="98"/>
      <c r="B3" s="98">
        <v>2</v>
      </c>
      <c r="C3" s="112" t="s">
        <v>367</v>
      </c>
      <c r="D3" s="98"/>
      <c r="E3" s="98"/>
      <c r="F3" s="98">
        <v>2</v>
      </c>
      <c r="G3" s="98"/>
      <c r="H3" s="98"/>
      <c r="I3" s="112"/>
      <c r="J3" s="98"/>
      <c r="K3" s="115"/>
      <c r="L3" s="98"/>
      <c r="M3" s="125" t="str">
        <f>VLOOKUP(C3,vanderbilt_questionarrie,2,FALSE)</f>
        <v>Inattentive</v>
      </c>
      <c r="N3" s="273"/>
      <c r="S3" s="97" t="s">
        <v>363</v>
      </c>
      <c r="T3" s="98" t="s">
        <v>368</v>
      </c>
      <c r="U3" s="214" t="s">
        <v>369</v>
      </c>
      <c r="W3" s="112" t="s">
        <v>367</v>
      </c>
      <c r="X3" s="99" t="s">
        <v>366</v>
      </c>
    </row>
    <row r="4" spans="1:24" ht="30.75">
      <c r="A4" s="98"/>
      <c r="B4" s="98">
        <v>3</v>
      </c>
      <c r="C4" s="112" t="s">
        <v>14</v>
      </c>
      <c r="D4" s="98"/>
      <c r="E4" s="98"/>
      <c r="F4" s="98">
        <v>2</v>
      </c>
      <c r="G4" s="98"/>
      <c r="H4" s="98"/>
      <c r="I4" s="112"/>
      <c r="J4" s="98"/>
      <c r="K4" s="115"/>
      <c r="L4" s="98"/>
      <c r="M4" s="125" t="str">
        <f>VLOOKUP(C4,vanderbilt_questionarrie,2,FALSE)</f>
        <v>Inattentive</v>
      </c>
      <c r="N4" s="273"/>
      <c r="S4" s="98" t="s">
        <v>370</v>
      </c>
      <c r="T4" s="98">
        <v>18</v>
      </c>
      <c r="U4" s="112" t="str">
        <f>IF(AND(T4&gt;=6, T10=1), "ADHD combined type found", "No ADHD combined type found")</f>
        <v>No ADHD combined type found</v>
      </c>
      <c r="W4" s="112" t="s">
        <v>14</v>
      </c>
      <c r="X4" s="99" t="s">
        <v>366</v>
      </c>
    </row>
    <row r="5" spans="1:24" ht="60.75">
      <c r="A5" s="98"/>
      <c r="B5" s="98">
        <v>4</v>
      </c>
      <c r="C5" s="112" t="s">
        <v>371</v>
      </c>
      <c r="D5" s="98"/>
      <c r="E5" s="98"/>
      <c r="F5" s="98">
        <v>2</v>
      </c>
      <c r="G5" s="98"/>
      <c r="H5" s="98"/>
      <c r="I5" s="112"/>
      <c r="J5" s="98"/>
      <c r="K5" s="115"/>
      <c r="L5" s="98"/>
      <c r="M5" s="125" t="str">
        <f>VLOOKUP(C5,vanderbilt_questionarrie,2,FALSE)</f>
        <v>Inattentive</v>
      </c>
      <c r="N5" s="273"/>
      <c r="S5" s="98" t="s">
        <v>372</v>
      </c>
      <c r="T5" s="98">
        <v>7</v>
      </c>
      <c r="U5" s="112" t="str">
        <f>IF(AND(T5&gt;=3, T10=1), "Anxiety/depression type found", "No Anxiety/depression type found")</f>
        <v>No Anxiety/depression type found</v>
      </c>
      <c r="W5" s="112" t="s">
        <v>371</v>
      </c>
      <c r="X5" s="99" t="s">
        <v>366</v>
      </c>
    </row>
    <row r="6" spans="1:24" ht="30.75">
      <c r="A6" s="98"/>
      <c r="B6" s="98">
        <v>5</v>
      </c>
      <c r="C6" s="112" t="s">
        <v>373</v>
      </c>
      <c r="D6" s="98"/>
      <c r="E6" s="98"/>
      <c r="F6" s="98"/>
      <c r="G6" s="98">
        <v>3</v>
      </c>
      <c r="H6" s="98"/>
      <c r="I6" s="112"/>
      <c r="J6" s="98"/>
      <c r="K6" s="115"/>
      <c r="L6" s="98"/>
      <c r="M6" s="125" t="str">
        <f>VLOOKUP(C6,vanderbilt_questionarrie,2,FALSE)</f>
        <v>Inattentive</v>
      </c>
      <c r="N6" s="273"/>
      <c r="S6" s="98" t="s">
        <v>374</v>
      </c>
      <c r="T6" s="98">
        <v>13</v>
      </c>
      <c r="U6" s="112" t="str">
        <f>IF(AND(T6&gt;=3, T10=1), "Conduct disorder type found", "No Conduct disorder type found")</f>
        <v>No Conduct disorder type found</v>
      </c>
      <c r="W6" s="112" t="s">
        <v>373</v>
      </c>
      <c r="X6" s="99" t="s">
        <v>366</v>
      </c>
    </row>
    <row r="7" spans="1:24" ht="76.5">
      <c r="A7" s="98"/>
      <c r="B7" s="98">
        <v>6</v>
      </c>
      <c r="C7" s="112" t="s">
        <v>375</v>
      </c>
      <c r="D7" s="98"/>
      <c r="E7" s="98"/>
      <c r="F7" s="98"/>
      <c r="G7" s="98">
        <v>3</v>
      </c>
      <c r="H7" s="98"/>
      <c r="I7" s="112"/>
      <c r="J7" s="98"/>
      <c r="K7" s="115"/>
      <c r="L7" s="98"/>
      <c r="M7" s="125" t="str">
        <f>VLOOKUP(C7,vanderbilt_questionarrie,2,FALSE)</f>
        <v>Inattentive</v>
      </c>
      <c r="N7" s="273"/>
      <c r="S7" s="98" t="s">
        <v>376</v>
      </c>
      <c r="T7" s="98">
        <v>9</v>
      </c>
      <c r="U7" s="98" t="str">
        <f>IF(AND(T7&gt;=6, T10=1), "ADHD predominantly hyperactive/impulsive type found", "No ADHD predominantly hyperactive/impulsive type found")</f>
        <v>No ADHD predominantly hyperactive/impulsive type found</v>
      </c>
      <c r="W7" s="112" t="s">
        <v>375</v>
      </c>
      <c r="X7" s="99" t="s">
        <v>366</v>
      </c>
    </row>
    <row r="8" spans="1:24" ht="76.5">
      <c r="A8" s="98"/>
      <c r="B8" s="98">
        <v>7</v>
      </c>
      <c r="C8" s="112" t="s">
        <v>377</v>
      </c>
      <c r="D8" s="98"/>
      <c r="E8" s="98"/>
      <c r="F8" s="98"/>
      <c r="G8" s="98">
        <v>3</v>
      </c>
      <c r="H8" s="98"/>
      <c r="I8" s="112"/>
      <c r="J8" s="98"/>
      <c r="K8" s="115"/>
      <c r="L8" s="98"/>
      <c r="M8" s="125" t="str">
        <f>VLOOKUP(C8,vanderbilt_questionarrie,2,FALSE)</f>
        <v>Inattentive</v>
      </c>
      <c r="N8" s="273"/>
      <c r="S8" s="98" t="s">
        <v>366</v>
      </c>
      <c r="T8" s="98">
        <v>9</v>
      </c>
      <c r="U8" s="112" t="str">
        <f>IF(AND(T8&gt;=6, T10=1), "ADHD predominantly inattentive type", "No ADHD predominantly inattention type found")</f>
        <v>No ADHD predominantly inattention type found</v>
      </c>
      <c r="W8" s="112" t="s">
        <v>377</v>
      </c>
      <c r="X8" s="99" t="s">
        <v>366</v>
      </c>
    </row>
    <row r="9" spans="1:24" ht="30.75">
      <c r="A9" s="98"/>
      <c r="B9" s="98">
        <v>8</v>
      </c>
      <c r="C9" s="112" t="s">
        <v>378</v>
      </c>
      <c r="D9" s="98"/>
      <c r="E9" s="98"/>
      <c r="F9" s="98"/>
      <c r="G9" s="98">
        <v>3</v>
      </c>
      <c r="H9" s="98"/>
      <c r="I9" s="112"/>
      <c r="J9" s="98"/>
      <c r="K9" s="115"/>
      <c r="L9" s="98"/>
      <c r="M9" s="125" t="str">
        <f>VLOOKUP(C9,vanderbilt_questionarrie,2,FALSE)</f>
        <v>Inattentive</v>
      </c>
      <c r="N9" s="273"/>
      <c r="S9" s="98" t="s">
        <v>379</v>
      </c>
      <c r="T9" s="98">
        <v>8</v>
      </c>
      <c r="U9" s="112" t="str">
        <f>IF(AND(T9&gt;=4, T10=1), "Oppositional defiant disorder type found", "No Oppositional defiant disorder type found")</f>
        <v>No Oppositional defiant disorder type found</v>
      </c>
      <c r="W9" s="112" t="s">
        <v>378</v>
      </c>
      <c r="X9" s="99" t="s">
        <v>366</v>
      </c>
    </row>
    <row r="10" spans="1:24">
      <c r="A10" s="98"/>
      <c r="B10" s="98">
        <v>9</v>
      </c>
      <c r="C10" s="112" t="s">
        <v>380</v>
      </c>
      <c r="D10" s="98"/>
      <c r="E10" s="98"/>
      <c r="F10" s="98"/>
      <c r="G10" s="98">
        <v>3</v>
      </c>
      <c r="H10" s="98"/>
      <c r="I10" s="112"/>
      <c r="J10" s="98"/>
      <c r="K10" s="115"/>
      <c r="L10" s="98"/>
      <c r="M10" s="125" t="str">
        <f>VLOOKUP(C10,vanderbilt_questionarrie,2,FALSE)</f>
        <v>Inattentive</v>
      </c>
      <c r="N10" s="273"/>
      <c r="S10" s="98" t="s">
        <v>381</v>
      </c>
      <c r="T10" s="98">
        <v>3</v>
      </c>
      <c r="U10" s="98"/>
      <c r="W10" s="112" t="s">
        <v>380</v>
      </c>
      <c r="X10" s="99" t="s">
        <v>366</v>
      </c>
    </row>
    <row r="11" spans="1:24" ht="30.75">
      <c r="A11" s="98"/>
      <c r="B11" s="98">
        <v>10</v>
      </c>
      <c r="C11" s="112" t="s">
        <v>382</v>
      </c>
      <c r="D11" s="98"/>
      <c r="E11" s="98"/>
      <c r="F11" s="98">
        <v>2</v>
      </c>
      <c r="G11" s="98"/>
      <c r="H11" s="98"/>
      <c r="I11" s="112"/>
      <c r="J11" s="98"/>
      <c r="K11" s="115"/>
      <c r="L11" s="98"/>
      <c r="M11" s="125" t="str">
        <f>VLOOKUP(C11,vanderbilt_questionarrie,2,FALSE)</f>
        <v>hyperactive/Impulsive</v>
      </c>
      <c r="N11" s="273">
        <f>COUNTIFS(M11:M19, "hyperactive/Impulsive", F11:F19, 2) + COUNTIFS(M11:M19, "hyperactive/Impulsive", G11:G19, 3)</f>
        <v>9</v>
      </c>
      <c r="S11" s="98" t="s">
        <v>346</v>
      </c>
      <c r="T11" s="98"/>
      <c r="U11" s="98"/>
      <c r="W11" s="112" t="s">
        <v>382</v>
      </c>
      <c r="X11" s="99" t="s">
        <v>376</v>
      </c>
    </row>
    <row r="12" spans="1:24" ht="60.75">
      <c r="A12" s="98"/>
      <c r="B12" s="98">
        <v>11</v>
      </c>
      <c r="C12" s="112" t="s">
        <v>383</v>
      </c>
      <c r="D12" s="98"/>
      <c r="E12" s="98"/>
      <c r="F12" s="98">
        <v>2</v>
      </c>
      <c r="G12" s="98"/>
      <c r="H12" s="98"/>
      <c r="I12" s="112"/>
      <c r="J12" s="98"/>
      <c r="K12" s="115"/>
      <c r="L12" s="98"/>
      <c r="M12" s="125" t="str">
        <f>VLOOKUP(C12,vanderbilt_questionarrie,2,FALSE)</f>
        <v>hyperactive/Impulsive</v>
      </c>
      <c r="N12" s="273"/>
      <c r="S12" s="98" t="s">
        <v>347</v>
      </c>
      <c r="T12" s="98">
        <v>67</v>
      </c>
      <c r="U12" s="98"/>
      <c r="W12" s="112" t="s">
        <v>383</v>
      </c>
      <c r="X12" s="99" t="s">
        <v>376</v>
      </c>
    </row>
    <row r="13" spans="1:24" ht="60.75">
      <c r="A13" s="98"/>
      <c r="B13" s="98">
        <v>12</v>
      </c>
      <c r="C13" s="112" t="s">
        <v>384</v>
      </c>
      <c r="D13" s="98"/>
      <c r="E13" s="98"/>
      <c r="F13" s="98">
        <v>2</v>
      </c>
      <c r="G13" s="98"/>
      <c r="H13" s="98"/>
      <c r="I13" s="112"/>
      <c r="J13" s="98"/>
      <c r="K13" s="115"/>
      <c r="L13" s="98"/>
      <c r="M13" s="125" t="str">
        <f>VLOOKUP(C13,vanderbilt_questionarrie,2,FALSE)</f>
        <v>hyperactive/Impulsive</v>
      </c>
      <c r="N13" s="273"/>
      <c r="W13" s="112" t="s">
        <v>384</v>
      </c>
      <c r="X13" s="99" t="s">
        <v>376</v>
      </c>
    </row>
    <row r="14" spans="1:24" ht="45.75">
      <c r="A14" s="98"/>
      <c r="B14" s="98">
        <v>13</v>
      </c>
      <c r="C14" s="112" t="s">
        <v>385</v>
      </c>
      <c r="D14" s="98"/>
      <c r="E14" s="98"/>
      <c r="F14" s="98">
        <v>2</v>
      </c>
      <c r="G14" s="98"/>
      <c r="H14" s="98"/>
      <c r="I14" s="112"/>
      <c r="J14" s="98"/>
      <c r="K14" s="115"/>
      <c r="L14" s="98"/>
      <c r="M14" s="125" t="str">
        <f>VLOOKUP(C14,vanderbilt_questionarrie,2,FALSE)</f>
        <v>hyperactive/Impulsive</v>
      </c>
      <c r="N14" s="273"/>
      <c r="W14" s="112" t="s">
        <v>385</v>
      </c>
      <c r="X14" s="99" t="s">
        <v>376</v>
      </c>
    </row>
    <row r="15" spans="1:24" ht="30.75">
      <c r="A15" s="98"/>
      <c r="B15" s="98">
        <v>14</v>
      </c>
      <c r="C15" s="112" t="s">
        <v>386</v>
      </c>
      <c r="D15" s="98"/>
      <c r="E15" s="98"/>
      <c r="F15" s="98"/>
      <c r="G15" s="98">
        <v>3</v>
      </c>
      <c r="H15" s="98"/>
      <c r="I15" s="112"/>
      <c r="J15" s="98"/>
      <c r="K15" s="115"/>
      <c r="L15" s="98"/>
      <c r="M15" s="125" t="str">
        <f>VLOOKUP(C15,vanderbilt_questionarrie,2,FALSE)</f>
        <v>hyperactive/Impulsive</v>
      </c>
      <c r="N15" s="273"/>
      <c r="W15" s="112" t="s">
        <v>386</v>
      </c>
      <c r="X15" s="99" t="s">
        <v>376</v>
      </c>
    </row>
    <row r="16" spans="1:24">
      <c r="A16" s="98"/>
      <c r="B16" s="98">
        <v>15</v>
      </c>
      <c r="C16" s="112" t="s">
        <v>30</v>
      </c>
      <c r="D16" s="98"/>
      <c r="E16" s="98"/>
      <c r="F16" s="98"/>
      <c r="G16" s="98">
        <v>3</v>
      </c>
      <c r="H16" s="98"/>
      <c r="I16" s="112"/>
      <c r="J16" s="98"/>
      <c r="K16" s="115"/>
      <c r="L16" s="98"/>
      <c r="M16" s="125" t="str">
        <f>VLOOKUP(C16,vanderbilt_questionarrie,2,FALSE)</f>
        <v>hyperactive/Impulsive</v>
      </c>
      <c r="N16" s="273"/>
      <c r="W16" s="112" t="s">
        <v>30</v>
      </c>
      <c r="X16" s="99" t="s">
        <v>376</v>
      </c>
    </row>
    <row r="17" spans="1:24" ht="45.75">
      <c r="A17" s="98"/>
      <c r="B17" s="98">
        <v>16</v>
      </c>
      <c r="C17" s="112" t="s">
        <v>387</v>
      </c>
      <c r="D17" s="98"/>
      <c r="E17" s="98"/>
      <c r="F17" s="98"/>
      <c r="G17" s="98">
        <v>3</v>
      </c>
      <c r="H17" s="98"/>
      <c r="I17" s="112"/>
      <c r="J17" s="98"/>
      <c r="K17" s="115"/>
      <c r="L17" s="98"/>
      <c r="M17" s="125" t="str">
        <f>VLOOKUP(C17,vanderbilt_questionarrie,2,FALSE)</f>
        <v>hyperactive/Impulsive</v>
      </c>
      <c r="N17" s="273"/>
      <c r="W17" s="112" t="s">
        <v>387</v>
      </c>
      <c r="X17" s="99" t="s">
        <v>376</v>
      </c>
    </row>
    <row r="18" spans="1:24">
      <c r="A18" s="98"/>
      <c r="B18" s="98">
        <v>17</v>
      </c>
      <c r="C18" s="112" t="s">
        <v>388</v>
      </c>
      <c r="D18" s="98"/>
      <c r="E18" s="98"/>
      <c r="F18" s="98"/>
      <c r="G18" s="98">
        <v>3</v>
      </c>
      <c r="H18" s="98"/>
      <c r="I18" s="112"/>
      <c r="J18" s="98"/>
      <c r="K18" s="115"/>
      <c r="L18" s="98"/>
      <c r="M18" s="125" t="str">
        <f>VLOOKUP(C18,vanderbilt_questionarrie,2,FALSE)</f>
        <v>hyperactive/Impulsive</v>
      </c>
      <c r="N18" s="273"/>
      <c r="W18" s="112" t="s">
        <v>388</v>
      </c>
      <c r="X18" s="99" t="s">
        <v>376</v>
      </c>
    </row>
    <row r="19" spans="1:24" ht="45.75">
      <c r="A19" s="98"/>
      <c r="B19" s="98">
        <v>18</v>
      </c>
      <c r="C19" s="112" t="s">
        <v>389</v>
      </c>
      <c r="D19" s="98"/>
      <c r="E19" s="98"/>
      <c r="F19" s="98"/>
      <c r="G19" s="98">
        <v>3</v>
      </c>
      <c r="H19" s="98"/>
      <c r="I19" s="112"/>
      <c r="J19" s="98"/>
      <c r="K19" s="115"/>
      <c r="L19" s="98"/>
      <c r="M19" s="212" t="str">
        <f>VLOOKUP(C19,vanderbilt_questionarrie,2,FALSE)</f>
        <v>hyperactive/Impulsive</v>
      </c>
      <c r="N19" s="271"/>
      <c r="W19" s="112" t="s">
        <v>389</v>
      </c>
      <c r="X19" s="99" t="s">
        <v>376</v>
      </c>
    </row>
    <row r="20" spans="1:24" ht="30.75">
      <c r="A20" s="98"/>
      <c r="B20" s="98">
        <v>19</v>
      </c>
      <c r="C20" s="112" t="s">
        <v>34</v>
      </c>
      <c r="D20" s="98"/>
      <c r="E20" s="98"/>
      <c r="F20" s="98">
        <v>2</v>
      </c>
      <c r="G20" s="98"/>
      <c r="H20" s="98"/>
      <c r="I20" s="112"/>
      <c r="J20" s="98"/>
      <c r="K20" s="115"/>
      <c r="L20" s="115"/>
      <c r="M20" s="99" t="str">
        <f>VLOOKUP(C20,vanderbilt_questionarrie,2,FALSE)</f>
        <v>oppositional defiant disorder</v>
      </c>
      <c r="N20" s="271">
        <f>COUNTIFS(M20:M27, "oppositional defiant disorder", F20:F27, 2) + COUNTIFS(M20:M27, "oppositional defiant disorder", G20:G27, 3)</f>
        <v>8</v>
      </c>
      <c r="W20" s="112" t="s">
        <v>34</v>
      </c>
      <c r="X20" s="99" t="s">
        <v>379</v>
      </c>
    </row>
    <row r="21" spans="1:24" ht="30.75">
      <c r="A21" s="98"/>
      <c r="B21" s="98">
        <v>20</v>
      </c>
      <c r="C21" s="112" t="s">
        <v>390</v>
      </c>
      <c r="D21" s="98"/>
      <c r="E21" s="98"/>
      <c r="F21" s="98">
        <v>2</v>
      </c>
      <c r="G21" s="98"/>
      <c r="H21" s="98"/>
      <c r="I21" s="112"/>
      <c r="J21" s="98"/>
      <c r="K21" s="115"/>
      <c r="L21" s="115"/>
      <c r="M21" s="213" t="str">
        <f>VLOOKUP(C21,vanderbilt_questionarrie,2,FALSE)</f>
        <v>oppositional defiant disorder</v>
      </c>
      <c r="N21" s="272"/>
      <c r="W21" s="112" t="s">
        <v>390</v>
      </c>
      <c r="X21" s="99" t="s">
        <v>379</v>
      </c>
    </row>
    <row r="22" spans="1:24" ht="45.75">
      <c r="A22" s="98"/>
      <c r="B22" s="98">
        <v>21</v>
      </c>
      <c r="C22" s="112" t="s">
        <v>391</v>
      </c>
      <c r="D22" s="98"/>
      <c r="E22" s="98"/>
      <c r="F22" s="98">
        <v>2</v>
      </c>
      <c r="G22" s="98"/>
      <c r="H22" s="98"/>
      <c r="I22" s="112"/>
      <c r="J22" s="98"/>
      <c r="K22" s="115"/>
      <c r="L22" s="115"/>
      <c r="M22" s="99" t="str">
        <f>VLOOKUP(C22,vanderbilt_questionarrie,2,FALSE)</f>
        <v>oppositional defiant disorder</v>
      </c>
      <c r="N22" s="272"/>
      <c r="W22" s="112" t="s">
        <v>391</v>
      </c>
      <c r="X22" s="99" t="s">
        <v>379</v>
      </c>
    </row>
    <row r="23" spans="1:24" ht="30.75">
      <c r="A23" s="98"/>
      <c r="B23" s="98">
        <v>22</v>
      </c>
      <c r="C23" s="112" t="s">
        <v>392</v>
      </c>
      <c r="D23" s="98"/>
      <c r="E23" s="98"/>
      <c r="F23" s="98">
        <v>2</v>
      </c>
      <c r="G23" s="98"/>
      <c r="H23" s="98"/>
      <c r="I23" s="112"/>
      <c r="J23" s="98"/>
      <c r="K23" s="115"/>
      <c r="L23" s="115"/>
      <c r="M23" s="99" t="str">
        <f>VLOOKUP(C23,vanderbilt_questionarrie,2,FALSE)</f>
        <v>oppositional defiant disorder</v>
      </c>
      <c r="N23" s="272"/>
      <c r="W23" s="112" t="s">
        <v>392</v>
      </c>
      <c r="X23" s="99" t="s">
        <v>379</v>
      </c>
    </row>
    <row r="24" spans="1:24" ht="30.75">
      <c r="A24" s="98"/>
      <c r="B24" s="98">
        <v>23</v>
      </c>
      <c r="C24" s="112" t="s">
        <v>393</v>
      </c>
      <c r="D24" s="98"/>
      <c r="E24" s="98"/>
      <c r="F24" s="98"/>
      <c r="G24" s="98">
        <v>3</v>
      </c>
      <c r="H24" s="98"/>
      <c r="I24" s="112"/>
      <c r="J24" s="98"/>
      <c r="K24" s="115"/>
      <c r="L24" s="115"/>
      <c r="M24" s="99" t="str">
        <f>VLOOKUP(C24,vanderbilt_questionarrie,2,FALSE)</f>
        <v>oppositional defiant disorder</v>
      </c>
      <c r="N24" s="272"/>
      <c r="W24" s="112" t="s">
        <v>393</v>
      </c>
      <c r="X24" s="99" t="s">
        <v>379</v>
      </c>
    </row>
    <row r="25" spans="1:24" ht="30.75">
      <c r="A25" s="98"/>
      <c r="B25" s="98">
        <v>24</v>
      </c>
      <c r="C25" s="112" t="s">
        <v>394</v>
      </c>
      <c r="D25" s="98"/>
      <c r="E25" s="98"/>
      <c r="F25" s="98"/>
      <c r="G25" s="98">
        <v>3</v>
      </c>
      <c r="H25" s="98"/>
      <c r="I25" s="112"/>
      <c r="J25" s="98"/>
      <c r="K25" s="115"/>
      <c r="L25" s="115"/>
      <c r="M25" s="99" t="str">
        <f>VLOOKUP(C25,vanderbilt_questionarrie,2,FALSE)</f>
        <v>oppositional defiant disorder</v>
      </c>
      <c r="N25" s="272"/>
      <c r="W25" s="112" t="s">
        <v>394</v>
      </c>
      <c r="X25" s="99" t="s">
        <v>379</v>
      </c>
    </row>
    <row r="26" spans="1:24" ht="30.75">
      <c r="A26" s="98"/>
      <c r="B26" s="98">
        <v>25</v>
      </c>
      <c r="C26" s="112" t="s">
        <v>395</v>
      </c>
      <c r="D26" s="98"/>
      <c r="E26" s="98"/>
      <c r="F26" s="98"/>
      <c r="G26" s="98">
        <v>3</v>
      </c>
      <c r="H26" s="98"/>
      <c r="I26" s="112"/>
      <c r="J26" s="98"/>
      <c r="K26" s="115"/>
      <c r="L26" s="115"/>
      <c r="M26" s="99" t="str">
        <f>VLOOKUP(C26,vanderbilt_questionarrie,2,FALSE)</f>
        <v>oppositional defiant disorder</v>
      </c>
      <c r="N26" s="272"/>
      <c r="W26" s="112" t="s">
        <v>395</v>
      </c>
      <c r="X26" s="99" t="s">
        <v>379</v>
      </c>
    </row>
    <row r="27" spans="1:24" ht="30.75">
      <c r="A27" s="98"/>
      <c r="B27" s="98">
        <v>26</v>
      </c>
      <c r="C27" s="112" t="s">
        <v>396</v>
      </c>
      <c r="D27" s="98"/>
      <c r="E27" s="98"/>
      <c r="F27" s="98"/>
      <c r="G27" s="98">
        <v>3</v>
      </c>
      <c r="H27" s="98"/>
      <c r="I27" s="112"/>
      <c r="J27" s="98"/>
      <c r="K27" s="115"/>
      <c r="L27" s="115"/>
      <c r="M27" s="213" t="str">
        <f>VLOOKUP(C27,vanderbilt_questionarrie,2,FALSE)</f>
        <v>oppositional defiant disorder</v>
      </c>
      <c r="N27" s="274"/>
      <c r="W27" s="112" t="s">
        <v>396</v>
      </c>
      <c r="X27" s="99" t="s">
        <v>379</v>
      </c>
    </row>
    <row r="28" spans="1:24" ht="30.75">
      <c r="A28" s="98"/>
      <c r="B28" s="98">
        <v>27</v>
      </c>
      <c r="C28" s="112" t="s">
        <v>397</v>
      </c>
      <c r="D28" s="98"/>
      <c r="E28" s="98"/>
      <c r="F28" s="98">
        <v>2</v>
      </c>
      <c r="G28" s="98"/>
      <c r="H28" s="98"/>
      <c r="I28" s="112"/>
      <c r="J28" s="98"/>
      <c r="K28" s="115"/>
      <c r="L28" s="115"/>
      <c r="M28" s="99" t="str">
        <f>VLOOKUP(C28,vanderbilt_questionarrie,2,FALSE)</f>
        <v>conduct Disorder</v>
      </c>
      <c r="N28" s="271">
        <f>COUNTIFS(M28:M41, "conduct Disorder", F28:F41, 2) + COUNTIFS(M28:M41, "conduct Disorder", G28:G41, 3)</f>
        <v>13</v>
      </c>
      <c r="W28" s="112" t="s">
        <v>397</v>
      </c>
      <c r="X28" s="99" t="s">
        <v>374</v>
      </c>
    </row>
    <row r="29" spans="1:24">
      <c r="A29" s="98"/>
      <c r="B29" s="98">
        <v>28</v>
      </c>
      <c r="C29" s="112" t="s">
        <v>398</v>
      </c>
      <c r="D29" s="98"/>
      <c r="E29" s="98"/>
      <c r="F29" s="98">
        <v>2</v>
      </c>
      <c r="G29" s="98"/>
      <c r="H29" s="98"/>
      <c r="I29" s="112"/>
      <c r="J29" s="98"/>
      <c r="K29" s="115"/>
      <c r="L29" s="115"/>
      <c r="M29" s="99" t="str">
        <f>VLOOKUP(C29,vanderbilt_questionarrie,2,FALSE)</f>
        <v>conduct Disorder</v>
      </c>
      <c r="N29" s="272"/>
      <c r="W29" s="112" t="s">
        <v>398</v>
      </c>
      <c r="X29" s="99" t="s">
        <v>374</v>
      </c>
    </row>
    <row r="30" spans="1:24" ht="45.75">
      <c r="A30" s="98"/>
      <c r="B30" s="98">
        <v>29</v>
      </c>
      <c r="C30" s="112" t="s">
        <v>399</v>
      </c>
      <c r="D30" s="98"/>
      <c r="E30" s="98"/>
      <c r="F30" s="98">
        <v>2</v>
      </c>
      <c r="G30" s="98"/>
      <c r="H30" s="98"/>
      <c r="I30" s="112"/>
      <c r="J30" s="98"/>
      <c r="K30" s="115"/>
      <c r="L30" s="115"/>
      <c r="M30" s="99" t="str">
        <f>VLOOKUP(C30,vanderbilt_questionarrie,2,FALSE)</f>
        <v>conduct Disorder</v>
      </c>
      <c r="N30" s="272"/>
      <c r="W30" s="112" t="s">
        <v>399</v>
      </c>
      <c r="X30" s="99" t="s">
        <v>374</v>
      </c>
    </row>
    <row r="31" spans="1:24" ht="30.75">
      <c r="A31" s="98"/>
      <c r="B31" s="98">
        <v>30</v>
      </c>
      <c r="C31" s="112" t="s">
        <v>400</v>
      </c>
      <c r="D31" s="98"/>
      <c r="E31" s="98"/>
      <c r="F31" s="98">
        <v>2</v>
      </c>
      <c r="G31" s="98"/>
      <c r="H31" s="98"/>
      <c r="I31" s="112"/>
      <c r="J31" s="98"/>
      <c r="K31" s="115"/>
      <c r="L31" s="115"/>
      <c r="M31" s="99" t="str">
        <f>VLOOKUP(C31,vanderbilt_questionarrie,2,FALSE)</f>
        <v>conduct Disorder</v>
      </c>
      <c r="N31" s="272"/>
      <c r="W31" s="112" t="s">
        <v>400</v>
      </c>
      <c r="X31" s="99" t="s">
        <v>374</v>
      </c>
    </row>
    <row r="32" spans="1:24">
      <c r="A32" s="98"/>
      <c r="B32" s="98">
        <v>31</v>
      </c>
      <c r="C32" s="112" t="s">
        <v>401</v>
      </c>
      <c r="D32" s="98"/>
      <c r="E32" s="98"/>
      <c r="F32" s="98">
        <v>2</v>
      </c>
      <c r="G32" s="98"/>
      <c r="H32" s="98"/>
      <c r="I32" s="112"/>
      <c r="J32" s="98"/>
      <c r="K32" s="115"/>
      <c r="L32" s="115"/>
      <c r="M32" s="99" t="str">
        <f>VLOOKUP(C32,vanderbilt_questionarrie,2,FALSE)</f>
        <v>conduct Disorder</v>
      </c>
      <c r="N32" s="272"/>
      <c r="W32" s="112" t="s">
        <v>401</v>
      </c>
      <c r="X32" s="99" t="s">
        <v>374</v>
      </c>
    </row>
    <row r="33" spans="1:24" ht="30.75">
      <c r="A33" s="98"/>
      <c r="B33" s="98">
        <v>32</v>
      </c>
      <c r="C33" s="112" t="s">
        <v>402</v>
      </c>
      <c r="D33" s="98"/>
      <c r="E33" s="98"/>
      <c r="F33" s="98">
        <v>2</v>
      </c>
      <c r="G33" s="98"/>
      <c r="H33" s="98"/>
      <c r="I33" s="112"/>
      <c r="J33" s="98"/>
      <c r="K33" s="115"/>
      <c r="L33" s="115"/>
      <c r="M33" s="99" t="str">
        <f>VLOOKUP(C33,vanderbilt_questionarrie,2,FALSE)</f>
        <v>conduct Disorder</v>
      </c>
      <c r="N33" s="272"/>
      <c r="W33" s="112" t="s">
        <v>402</v>
      </c>
      <c r="X33" s="99" t="s">
        <v>374</v>
      </c>
    </row>
    <row r="34" spans="1:24" ht="30.75">
      <c r="A34" s="98"/>
      <c r="B34" s="98">
        <v>33</v>
      </c>
      <c r="C34" s="112" t="s">
        <v>403</v>
      </c>
      <c r="D34" s="98"/>
      <c r="E34" s="98">
        <v>1</v>
      </c>
      <c r="F34" s="98"/>
      <c r="G34" s="98"/>
      <c r="H34" s="98"/>
      <c r="I34" s="112"/>
      <c r="J34" s="98"/>
      <c r="K34" s="115"/>
      <c r="L34" s="115"/>
      <c r="M34" s="99" t="str">
        <f>VLOOKUP(C34,vanderbilt_questionarrie,2,FALSE)</f>
        <v>conduct Disorder</v>
      </c>
      <c r="N34" s="272"/>
      <c r="W34" s="112" t="s">
        <v>403</v>
      </c>
      <c r="X34" s="99" t="s">
        <v>374</v>
      </c>
    </row>
    <row r="35" spans="1:24" ht="45.75">
      <c r="A35" s="98"/>
      <c r="B35" s="98">
        <v>34</v>
      </c>
      <c r="C35" s="112" t="s">
        <v>404</v>
      </c>
      <c r="D35" s="98"/>
      <c r="E35" s="98"/>
      <c r="F35" s="98"/>
      <c r="G35" s="98">
        <v>3</v>
      </c>
      <c r="H35" s="98"/>
      <c r="I35" s="112"/>
      <c r="J35" s="98"/>
      <c r="K35" s="115"/>
      <c r="L35" s="115"/>
      <c r="M35" s="99" t="str">
        <f>VLOOKUP(C35,vanderbilt_questionarrie,2,FALSE)</f>
        <v>conduct Disorder</v>
      </c>
      <c r="N35" s="272"/>
      <c r="W35" s="112" t="s">
        <v>404</v>
      </c>
      <c r="X35" s="99" t="s">
        <v>374</v>
      </c>
    </row>
    <row r="36" spans="1:24" ht="30.75">
      <c r="A36" s="98"/>
      <c r="B36" s="98">
        <v>35</v>
      </c>
      <c r="C36" s="112" t="s">
        <v>405</v>
      </c>
      <c r="D36" s="98"/>
      <c r="E36" s="98"/>
      <c r="F36" s="98"/>
      <c r="G36" s="98">
        <v>3</v>
      </c>
      <c r="H36" s="98"/>
      <c r="I36" s="112"/>
      <c r="J36" s="98"/>
      <c r="K36" s="115"/>
      <c r="L36" s="115"/>
      <c r="M36" s="99" t="str">
        <f>VLOOKUP(C36,vanderbilt_questionarrie,2,FALSE)</f>
        <v>conduct Disorder</v>
      </c>
      <c r="N36" s="272"/>
      <c r="W36" s="112" t="s">
        <v>405</v>
      </c>
      <c r="X36" s="99" t="s">
        <v>374</v>
      </c>
    </row>
    <row r="37" spans="1:24" ht="30.75">
      <c r="A37" s="98"/>
      <c r="B37" s="98">
        <v>36</v>
      </c>
      <c r="C37" s="112" t="s">
        <v>406</v>
      </c>
      <c r="D37" s="98"/>
      <c r="E37" s="98"/>
      <c r="F37" s="98"/>
      <c r="G37" s="98">
        <v>3</v>
      </c>
      <c r="H37" s="98"/>
      <c r="I37" s="112"/>
      <c r="J37" s="98"/>
      <c r="K37" s="115"/>
      <c r="L37" s="115"/>
      <c r="M37" s="99" t="str">
        <f>VLOOKUP(C37,vanderbilt_questionarrie,2,FALSE)</f>
        <v>conduct Disorder</v>
      </c>
      <c r="N37" s="272"/>
      <c r="W37" s="112" t="s">
        <v>406</v>
      </c>
      <c r="X37" s="99" t="s">
        <v>374</v>
      </c>
    </row>
    <row r="38" spans="1:24" ht="30.75">
      <c r="A38" s="98"/>
      <c r="B38" s="98">
        <v>37</v>
      </c>
      <c r="C38" s="112" t="s">
        <v>407</v>
      </c>
      <c r="D38" s="98"/>
      <c r="E38" s="98"/>
      <c r="F38" s="98"/>
      <c r="G38" s="98">
        <v>3</v>
      </c>
      <c r="H38" s="98"/>
      <c r="I38" s="112"/>
      <c r="J38" s="98"/>
      <c r="K38" s="115"/>
      <c r="L38" s="115"/>
      <c r="M38" s="99" t="str">
        <f>VLOOKUP(C38,vanderbilt_questionarrie,2,FALSE)</f>
        <v>conduct Disorder</v>
      </c>
      <c r="N38" s="272"/>
      <c r="W38" s="112" t="s">
        <v>407</v>
      </c>
      <c r="X38" s="99" t="s">
        <v>374</v>
      </c>
    </row>
    <row r="39" spans="1:24" ht="30.75">
      <c r="A39" s="98"/>
      <c r="B39" s="98">
        <v>38</v>
      </c>
      <c r="C39" s="112" t="s">
        <v>408</v>
      </c>
      <c r="D39" s="98"/>
      <c r="E39" s="98"/>
      <c r="F39" s="98"/>
      <c r="G39" s="98">
        <v>3</v>
      </c>
      <c r="H39" s="98"/>
      <c r="I39" s="112"/>
      <c r="J39" s="98"/>
      <c r="K39" s="115"/>
      <c r="L39" s="115"/>
      <c r="M39" s="99" t="str">
        <f>VLOOKUP(C39,vanderbilt_questionarrie,2,FALSE)</f>
        <v>conduct Disorder</v>
      </c>
      <c r="N39" s="272"/>
      <c r="W39" s="112" t="s">
        <v>408</v>
      </c>
      <c r="X39" s="99" t="s">
        <v>374</v>
      </c>
    </row>
    <row r="40" spans="1:24" ht="30.75">
      <c r="A40" s="98"/>
      <c r="B40" s="98">
        <v>39</v>
      </c>
      <c r="C40" s="112" t="s">
        <v>409</v>
      </c>
      <c r="D40" s="98"/>
      <c r="E40" s="98"/>
      <c r="F40" s="98"/>
      <c r="G40" s="98">
        <v>3</v>
      </c>
      <c r="H40" s="98"/>
      <c r="I40" s="112"/>
      <c r="J40" s="98"/>
      <c r="K40" s="115"/>
      <c r="L40" s="115"/>
      <c r="M40" s="99" t="str">
        <f>VLOOKUP(C40,vanderbilt_questionarrie,2,FALSE)</f>
        <v>conduct Disorder</v>
      </c>
      <c r="N40" s="272"/>
      <c r="W40" s="112" t="s">
        <v>409</v>
      </c>
      <c r="X40" s="99" t="s">
        <v>374</v>
      </c>
    </row>
    <row r="41" spans="1:24" ht="30.75">
      <c r="A41" s="98"/>
      <c r="B41" s="98">
        <v>40</v>
      </c>
      <c r="C41" s="112" t="s">
        <v>410</v>
      </c>
      <c r="D41" s="98"/>
      <c r="E41" s="98"/>
      <c r="F41" s="98"/>
      <c r="G41" s="98">
        <v>3</v>
      </c>
      <c r="H41" s="98"/>
      <c r="I41" s="112"/>
      <c r="J41" s="98"/>
      <c r="K41" s="115"/>
      <c r="L41" s="115"/>
      <c r="M41" s="120" t="str">
        <f>VLOOKUP(C41,vanderbilt_questionarrie,2,FALSE)</f>
        <v>conduct Disorder</v>
      </c>
      <c r="N41" s="274"/>
      <c r="W41" s="112" t="s">
        <v>410</v>
      </c>
      <c r="X41" s="99" t="s">
        <v>374</v>
      </c>
    </row>
    <row r="42" spans="1:24" ht="30.75">
      <c r="A42" s="98"/>
      <c r="B42" s="98">
        <v>41</v>
      </c>
      <c r="C42" s="112" t="s">
        <v>411</v>
      </c>
      <c r="D42" s="98"/>
      <c r="E42" s="98"/>
      <c r="F42" s="98">
        <v>2</v>
      </c>
      <c r="G42" s="98"/>
      <c r="H42" s="98"/>
      <c r="I42" s="112"/>
      <c r="J42" s="98"/>
      <c r="K42" s="115"/>
      <c r="L42" s="115"/>
      <c r="M42" s="99" t="str">
        <f>VLOOKUP(C42,vanderbilt_questionarrie,2,FALSE)</f>
        <v>anxiety/depression</v>
      </c>
      <c r="N42" s="271">
        <f>COUNTIFS(M42:M48, "anxiety/depression", F42:F48, 2) + COUNTIFS(M42:M48, "anxiety/depression", G42:G48, 3)</f>
        <v>7</v>
      </c>
      <c r="W42" s="112" t="s">
        <v>411</v>
      </c>
      <c r="X42" s="99" t="s">
        <v>372</v>
      </c>
    </row>
    <row r="43" spans="1:24" ht="30.75">
      <c r="A43" s="98"/>
      <c r="B43" s="98">
        <v>42</v>
      </c>
      <c r="C43" s="112" t="s">
        <v>412</v>
      </c>
      <c r="D43" s="98"/>
      <c r="E43" s="98"/>
      <c r="F43" s="98">
        <v>2</v>
      </c>
      <c r="G43" s="98"/>
      <c r="H43" s="98"/>
      <c r="I43" s="112"/>
      <c r="J43" s="98"/>
      <c r="K43" s="115"/>
      <c r="L43" s="115"/>
      <c r="M43" s="99" t="str">
        <f>VLOOKUP(C43,vanderbilt_questionarrie,2,FALSE)</f>
        <v>anxiety/depression</v>
      </c>
      <c r="N43" s="272"/>
      <c r="W43" s="112" t="s">
        <v>412</v>
      </c>
      <c r="X43" s="99" t="s">
        <v>372</v>
      </c>
    </row>
    <row r="44" spans="1:24">
      <c r="A44" s="98"/>
      <c r="B44" s="98">
        <v>43</v>
      </c>
      <c r="C44" s="112" t="s">
        <v>413</v>
      </c>
      <c r="D44" s="98"/>
      <c r="E44" s="98"/>
      <c r="F44" s="98">
        <v>2</v>
      </c>
      <c r="G44" s="98"/>
      <c r="H44" s="98"/>
      <c r="I44" s="112"/>
      <c r="J44" s="98"/>
      <c r="K44" s="115"/>
      <c r="L44" s="115"/>
      <c r="M44" s="99" t="str">
        <f>VLOOKUP(C44,vanderbilt_questionarrie,2,FALSE)</f>
        <v>anxiety/depression</v>
      </c>
      <c r="N44" s="272"/>
      <c r="W44" s="112" t="s">
        <v>413</v>
      </c>
      <c r="X44" s="99" t="s">
        <v>372</v>
      </c>
    </row>
    <row r="45" spans="1:24" ht="30.75">
      <c r="A45" s="98"/>
      <c r="B45" s="98">
        <v>44</v>
      </c>
      <c r="C45" s="112" t="s">
        <v>414</v>
      </c>
      <c r="D45" s="98"/>
      <c r="E45" s="98"/>
      <c r="F45" s="98"/>
      <c r="G45" s="98">
        <v>3</v>
      </c>
      <c r="H45" s="98"/>
      <c r="I45" s="112"/>
      <c r="J45" s="98"/>
      <c r="K45" s="115"/>
      <c r="L45" s="115"/>
      <c r="M45" s="99" t="str">
        <f>VLOOKUP(C45,vanderbilt_questionarrie,2,FALSE)</f>
        <v>anxiety/depression</v>
      </c>
      <c r="N45" s="272"/>
      <c r="W45" s="112" t="s">
        <v>414</v>
      </c>
      <c r="X45" s="99" t="s">
        <v>372</v>
      </c>
    </row>
    <row r="46" spans="1:24" ht="45.75">
      <c r="A46" s="98"/>
      <c r="B46" s="98">
        <v>45</v>
      </c>
      <c r="C46" s="112" t="s">
        <v>415</v>
      </c>
      <c r="D46" s="98"/>
      <c r="E46" s="98"/>
      <c r="F46" s="98"/>
      <c r="G46" s="98">
        <v>3</v>
      </c>
      <c r="H46" s="98"/>
      <c r="I46" s="112"/>
      <c r="J46" s="98"/>
      <c r="K46" s="115"/>
      <c r="L46" s="115"/>
      <c r="M46" s="99" t="str">
        <f>VLOOKUP(C46,vanderbilt_questionarrie,2,FALSE)</f>
        <v>anxiety/depression</v>
      </c>
      <c r="N46" s="272"/>
      <c r="W46" s="112" t="s">
        <v>415</v>
      </c>
      <c r="X46" s="99" t="s">
        <v>372</v>
      </c>
    </row>
    <row r="47" spans="1:24" ht="30.75">
      <c r="A47" s="98"/>
      <c r="B47" s="98">
        <v>46</v>
      </c>
      <c r="C47" s="112" t="s">
        <v>416</v>
      </c>
      <c r="D47" s="98"/>
      <c r="E47" s="98"/>
      <c r="F47" s="98"/>
      <c r="G47" s="98">
        <v>3</v>
      </c>
      <c r="H47" s="98"/>
      <c r="I47" s="112"/>
      <c r="J47" s="98"/>
      <c r="K47" s="115"/>
      <c r="L47" s="115"/>
      <c r="M47" s="99" t="str">
        <f>VLOOKUP(C47,vanderbilt_questionarrie,2,FALSE)</f>
        <v>anxiety/depression</v>
      </c>
      <c r="N47" s="272"/>
      <c r="W47" s="112" t="s">
        <v>416</v>
      </c>
      <c r="X47" s="99" t="s">
        <v>372</v>
      </c>
    </row>
    <row r="48" spans="1:24" ht="30.75">
      <c r="A48" s="98"/>
      <c r="B48" s="98">
        <v>47</v>
      </c>
      <c r="C48" s="112" t="s">
        <v>417</v>
      </c>
      <c r="D48" s="98"/>
      <c r="E48" s="98"/>
      <c r="F48" s="98"/>
      <c r="G48" s="98">
        <v>3</v>
      </c>
      <c r="H48" s="98"/>
      <c r="I48" s="112"/>
      <c r="J48" s="98"/>
      <c r="K48" s="115"/>
      <c r="L48" s="115"/>
      <c r="M48" s="99" t="str">
        <f>VLOOKUP(C48,vanderbilt_questionarrie,2,FALSE)</f>
        <v>anxiety/depression</v>
      </c>
      <c r="N48" s="272"/>
      <c r="W48" s="112" t="s">
        <v>417</v>
      </c>
      <c r="X48" s="99" t="s">
        <v>372</v>
      </c>
    </row>
    <row r="49" spans="1:24" ht="42.75" customHeight="1">
      <c r="A49" s="112" t="s">
        <v>418</v>
      </c>
      <c r="B49" s="98">
        <v>48</v>
      </c>
      <c r="C49" s="112" t="s">
        <v>419</v>
      </c>
      <c r="D49" s="98"/>
      <c r="E49" s="98"/>
      <c r="F49" s="98"/>
      <c r="G49" s="98"/>
      <c r="H49" s="98">
        <v>1</v>
      </c>
      <c r="I49" s="112"/>
      <c r="J49" s="98"/>
      <c r="K49" s="115"/>
      <c r="L49" s="115"/>
      <c r="M49" s="125" t="str">
        <f>VLOOKUP(C49,vanderbilt_questionarrie,2,FALSE)</f>
        <v>Performance</v>
      </c>
      <c r="N49" s="273" cm="1">
        <f t="array" ref="N49">SUMPRODUCT(--(M48:M55="Performance"), --(MMULT(--(H48:L55&gt;=4), TRANSPOSE(COLUMN(H48:L55)^0))&gt;0))</f>
        <v>3</v>
      </c>
      <c r="W49" s="112" t="s">
        <v>419</v>
      </c>
      <c r="X49" s="99" t="s">
        <v>381</v>
      </c>
    </row>
    <row r="50" spans="1:24">
      <c r="A50" s="98"/>
      <c r="B50" s="98">
        <v>49</v>
      </c>
      <c r="C50" s="112" t="s">
        <v>420</v>
      </c>
      <c r="D50" s="98"/>
      <c r="E50" s="98"/>
      <c r="F50" s="98"/>
      <c r="G50" s="98"/>
      <c r="H50" s="98"/>
      <c r="I50" s="112"/>
      <c r="J50" s="98"/>
      <c r="K50" s="115">
        <v>4</v>
      </c>
      <c r="L50" s="115"/>
      <c r="M50" s="125" t="str">
        <f>VLOOKUP(C50,vanderbilt_questionarrie,2,FALSE)</f>
        <v>Performance</v>
      </c>
      <c r="N50" s="273"/>
      <c r="W50" s="112" t="s">
        <v>420</v>
      </c>
      <c r="X50" s="99" t="s">
        <v>381</v>
      </c>
    </row>
    <row r="51" spans="1:24">
      <c r="A51" s="98"/>
      <c r="B51" s="98">
        <v>50</v>
      </c>
      <c r="C51" s="112" t="s">
        <v>421</v>
      </c>
      <c r="D51" s="98"/>
      <c r="E51" s="98"/>
      <c r="F51" s="98"/>
      <c r="G51" s="98"/>
      <c r="H51" s="98"/>
      <c r="I51" s="112">
        <v>2</v>
      </c>
      <c r="J51" s="98"/>
      <c r="K51" s="115"/>
      <c r="L51" s="115"/>
      <c r="M51" s="125" t="str">
        <f>VLOOKUP(C51,vanderbilt_questionarrie,2,FALSE)</f>
        <v>Performance</v>
      </c>
      <c r="N51" s="273"/>
      <c r="W51" s="112" t="s">
        <v>421</v>
      </c>
      <c r="X51" s="99" t="s">
        <v>381</v>
      </c>
    </row>
    <row r="52" spans="1:24" ht="30.75" customHeight="1">
      <c r="A52" s="112" t="s">
        <v>422</v>
      </c>
      <c r="B52" s="98">
        <v>51</v>
      </c>
      <c r="C52" s="112" t="s">
        <v>423</v>
      </c>
      <c r="D52" s="98"/>
      <c r="E52" s="98"/>
      <c r="F52" s="98"/>
      <c r="G52" s="98"/>
      <c r="H52" s="98"/>
      <c r="I52" s="112"/>
      <c r="J52" s="98"/>
      <c r="K52" s="115"/>
      <c r="L52" s="115">
        <v>5</v>
      </c>
      <c r="M52" s="125" t="str">
        <f>VLOOKUP(C52,vanderbilt_questionarrie,2,FALSE)</f>
        <v>Performance</v>
      </c>
      <c r="N52" s="273"/>
      <c r="W52" s="112" t="s">
        <v>423</v>
      </c>
      <c r="X52" s="99" t="s">
        <v>381</v>
      </c>
    </row>
    <row r="53" spans="1:24">
      <c r="A53" s="98"/>
      <c r="B53" s="98">
        <v>52</v>
      </c>
      <c r="C53" s="112" t="s">
        <v>424</v>
      </c>
      <c r="D53" s="98"/>
      <c r="E53" s="98"/>
      <c r="F53" s="98"/>
      <c r="G53" s="98"/>
      <c r="H53" s="98"/>
      <c r="I53" s="112">
        <v>2</v>
      </c>
      <c r="J53" s="98"/>
      <c r="K53" s="115"/>
      <c r="L53" s="115"/>
      <c r="M53" s="125" t="str">
        <f>VLOOKUP(C53,vanderbilt_questionarrie,2,FALSE)</f>
        <v>Performance</v>
      </c>
      <c r="N53" s="273"/>
      <c r="W53" s="112" t="s">
        <v>424</v>
      </c>
      <c r="X53" s="99" t="s">
        <v>381</v>
      </c>
    </row>
    <row r="54" spans="1:24">
      <c r="A54" s="98"/>
      <c r="B54" s="98">
        <v>53</v>
      </c>
      <c r="C54" s="112" t="s">
        <v>425</v>
      </c>
      <c r="D54" s="98"/>
      <c r="E54" s="98"/>
      <c r="F54" s="98"/>
      <c r="G54" s="98"/>
      <c r="H54" s="98"/>
      <c r="I54" s="112"/>
      <c r="J54" s="98"/>
      <c r="K54" s="115"/>
      <c r="L54" s="115">
        <v>5</v>
      </c>
      <c r="M54" s="125" t="str">
        <f>VLOOKUP(C54,vanderbilt_questionarrie,2,FALSE)</f>
        <v>Performance</v>
      </c>
      <c r="N54" s="273"/>
      <c r="W54" s="112" t="s">
        <v>425</v>
      </c>
      <c r="X54" s="99" t="s">
        <v>381</v>
      </c>
    </row>
    <row r="55" spans="1:24">
      <c r="A55" s="98"/>
      <c r="B55" s="98">
        <v>54</v>
      </c>
      <c r="C55" s="112" t="s">
        <v>426</v>
      </c>
      <c r="D55" s="98"/>
      <c r="E55" s="98"/>
      <c r="F55" s="98"/>
      <c r="G55" s="98"/>
      <c r="H55" s="98"/>
      <c r="I55" s="112"/>
      <c r="J55" s="98"/>
      <c r="K55" s="115"/>
      <c r="L55" s="115"/>
      <c r="M55" s="125" t="str">
        <f>VLOOKUP(C55,vanderbilt_questionarrie,2,FALSE)</f>
        <v>Performance</v>
      </c>
      <c r="N55" s="273"/>
      <c r="W55" s="112" t="s">
        <v>426</v>
      </c>
      <c r="X55" s="99" t="s">
        <v>381</v>
      </c>
    </row>
    <row r="56" spans="1:24">
      <c r="A56" s="98"/>
      <c r="B56" s="98">
        <v>55</v>
      </c>
      <c r="C56" s="112" t="s">
        <v>427</v>
      </c>
      <c r="D56" s="98"/>
      <c r="E56" s="98"/>
      <c r="F56" s="98"/>
      <c r="G56" s="98"/>
      <c r="H56" s="98"/>
      <c r="I56" s="112"/>
      <c r="J56" s="98"/>
      <c r="K56" s="115"/>
      <c r="L56" s="115"/>
      <c r="M56" s="212" t="str">
        <f>VLOOKUP(C56,vanderbilt_questionarrie,2,FALSE)</f>
        <v>Performance</v>
      </c>
      <c r="N56" s="273"/>
      <c r="W56" s="112" t="s">
        <v>427</v>
      </c>
      <c r="X56" s="99" t="s">
        <v>381</v>
      </c>
    </row>
    <row r="57" spans="1:24">
      <c r="M57" s="99" t="s">
        <v>370</v>
      </c>
      <c r="N57" s="145">
        <f>(COUNTIFS(M2:M10, "Inattentive", F2:F10, 2) + COUNTIFS(M2:M10, "Inattentive", G2:G10, 3)) +
 (COUNTIFS(M11:M20, "hyperactive/Impulsive", F11:F20, 2) + COUNTIFS(M11:M20, "hyperactive/Impulsive", G11:G20, 3))</f>
        <v>18</v>
      </c>
    </row>
  </sheetData>
  <mergeCells count="6">
    <mergeCell ref="N42:N48"/>
    <mergeCell ref="N49:N56"/>
    <mergeCell ref="N2:N10"/>
    <mergeCell ref="N11:N19"/>
    <mergeCell ref="N20:N27"/>
    <mergeCell ref="N28:N4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A4BBB-127E-423E-A079-6D8BBA50D368}">
  <dimension ref="A1:AQ208"/>
  <sheetViews>
    <sheetView topLeftCell="AG3" workbookViewId="0">
      <selection activeCell="AG3" sqref="AG3"/>
    </sheetView>
  </sheetViews>
  <sheetFormatPr defaultRowHeight="15"/>
  <cols>
    <col min="2" max="2" width="31.85546875" customWidth="1"/>
    <col min="3" max="3" width="51" customWidth="1"/>
    <col min="4" max="4" width="28.7109375" customWidth="1"/>
    <col min="10" max="10" width="17.7109375" bestFit="1" customWidth="1"/>
    <col min="11" max="11" width="21.85546875" bestFit="1" customWidth="1"/>
    <col min="12" max="12" width="10.7109375" bestFit="1" customWidth="1"/>
    <col min="13" max="13" width="35.7109375" customWidth="1"/>
    <col min="14" max="14" width="22.5703125" customWidth="1"/>
    <col min="15" max="15" width="16" bestFit="1" customWidth="1"/>
    <col min="16" max="16" width="17.85546875" bestFit="1" customWidth="1"/>
    <col min="17" max="17" width="17.42578125" bestFit="1" customWidth="1"/>
    <col min="18" max="18" width="11.28515625" bestFit="1" customWidth="1"/>
    <col min="33" max="33" width="16.85546875" customWidth="1"/>
    <col min="34" max="34" width="16" bestFit="1" customWidth="1"/>
  </cols>
  <sheetData>
    <row r="1" spans="1:43" ht="15" customHeight="1">
      <c r="A1" s="39" t="s">
        <v>1</v>
      </c>
      <c r="B1" s="40" t="s">
        <v>2</v>
      </c>
      <c r="C1" s="41" t="s">
        <v>428</v>
      </c>
      <c r="D1" s="39" t="s">
        <v>336</v>
      </c>
    </row>
    <row r="2" spans="1:43" ht="17.25" customHeight="1">
      <c r="A2" s="2">
        <v>1</v>
      </c>
      <c r="B2" s="3" t="s">
        <v>218</v>
      </c>
      <c r="C2" s="4">
        <v>1</v>
      </c>
      <c r="D2" s="2" t="str">
        <f t="shared" ref="D2:D33" si="0">VLOOKUP(B2,WeissGroup,2,FALSE)</f>
        <v>Family</v>
      </c>
      <c r="AG2" s="174"/>
    </row>
    <row r="3" spans="1:43" ht="78.75">
      <c r="A3" s="2">
        <v>2</v>
      </c>
      <c r="B3" s="3" t="s">
        <v>220</v>
      </c>
      <c r="C3" s="4">
        <v>2</v>
      </c>
      <c r="D3" s="2" t="str">
        <f t="shared" si="0"/>
        <v>Family</v>
      </c>
      <c r="F3">
        <f>COUNTIF(C2:C51,"2")+COUNTIF(C2:C51,"3")</f>
        <v>22</v>
      </c>
      <c r="AG3" s="149" t="s">
        <v>250</v>
      </c>
      <c r="AH3" t="s">
        <v>217</v>
      </c>
    </row>
    <row r="4" spans="1:43" ht="30.75">
      <c r="A4" s="2">
        <v>3</v>
      </c>
      <c r="B4" s="3" t="s">
        <v>222</v>
      </c>
      <c r="C4" s="4">
        <v>0</v>
      </c>
      <c r="D4" s="2" t="str">
        <f t="shared" si="0"/>
        <v>Family</v>
      </c>
      <c r="AG4" s="151" t="s">
        <v>220</v>
      </c>
    </row>
    <row r="5" spans="1:43" ht="60.75">
      <c r="A5" s="2">
        <v>4</v>
      </c>
      <c r="B5" s="3" t="s">
        <v>224</v>
      </c>
      <c r="C5" s="4">
        <v>2</v>
      </c>
      <c r="D5" s="2" t="str">
        <f t="shared" si="0"/>
        <v>SCHOOL Behaviour</v>
      </c>
      <c r="AG5" s="151" t="s">
        <v>264</v>
      </c>
    </row>
    <row r="6" spans="1:43" ht="30.75">
      <c r="A6" s="2">
        <v>5</v>
      </c>
      <c r="B6" s="3" t="s">
        <v>226</v>
      </c>
      <c r="C6" s="4">
        <v>2</v>
      </c>
      <c r="D6" s="2" t="str">
        <f t="shared" si="0"/>
        <v>SCHOOL Behaviour</v>
      </c>
      <c r="AG6" s="151" t="s">
        <v>218</v>
      </c>
    </row>
    <row r="7" spans="1:43" ht="60.75">
      <c r="A7" s="2">
        <v>6</v>
      </c>
      <c r="B7" s="3" t="s">
        <v>228</v>
      </c>
      <c r="C7" s="4">
        <v>3</v>
      </c>
      <c r="D7" s="2" t="str">
        <f t="shared" si="0"/>
        <v xml:space="preserve"> LIFE SKILLS</v>
      </c>
      <c r="J7" s="55" t="s">
        <v>429</v>
      </c>
      <c r="K7" s="55" t="s">
        <v>430</v>
      </c>
      <c r="AG7" s="152" t="s">
        <v>240</v>
      </c>
    </row>
    <row r="8" spans="1:43" ht="78.75">
      <c r="A8" s="2">
        <v>7</v>
      </c>
      <c r="B8" s="3" t="s">
        <v>230</v>
      </c>
      <c r="C8" s="4">
        <v>0</v>
      </c>
      <c r="D8" s="2" t="str">
        <f t="shared" si="0"/>
        <v xml:space="preserve"> LIFE SKILLS</v>
      </c>
      <c r="J8" s="55" t="s">
        <v>431</v>
      </c>
      <c r="K8" s="2" t="s">
        <v>287</v>
      </c>
      <c r="L8" s="2" t="s">
        <v>265</v>
      </c>
      <c r="M8" s="2" t="s">
        <v>344</v>
      </c>
      <c r="N8" s="2" t="s">
        <v>217</v>
      </c>
      <c r="O8" s="2" t="s">
        <v>311</v>
      </c>
      <c r="P8" s="2" t="s">
        <v>345</v>
      </c>
      <c r="Q8" s="2" t="s">
        <v>295</v>
      </c>
      <c r="R8" t="s">
        <v>347</v>
      </c>
      <c r="AG8" s="149" t="s">
        <v>246</v>
      </c>
    </row>
    <row r="9" spans="1:43" ht="30.75">
      <c r="A9" s="2">
        <v>8</v>
      </c>
      <c r="B9" s="3" t="s">
        <v>232</v>
      </c>
      <c r="C9" s="4">
        <v>2</v>
      </c>
      <c r="D9" s="2" t="str">
        <f t="shared" si="0"/>
        <v>SCHOOL Behaviour</v>
      </c>
      <c r="J9" s="63">
        <v>0</v>
      </c>
      <c r="K9" s="2">
        <v>1</v>
      </c>
      <c r="L9" s="2">
        <v>4</v>
      </c>
      <c r="M9" s="2"/>
      <c r="N9" s="2">
        <v>2</v>
      </c>
      <c r="O9" s="2">
        <v>3</v>
      </c>
      <c r="P9" s="2">
        <v>1</v>
      </c>
      <c r="Q9" s="2"/>
      <c r="R9">
        <v>11</v>
      </c>
      <c r="AG9" s="151" t="s">
        <v>248</v>
      </c>
    </row>
    <row r="10" spans="1:43" ht="60.75">
      <c r="A10" s="2">
        <v>9</v>
      </c>
      <c r="B10" s="3" t="s">
        <v>234</v>
      </c>
      <c r="C10" s="4">
        <v>2</v>
      </c>
      <c r="D10" s="2" t="str">
        <f t="shared" si="0"/>
        <v xml:space="preserve"> SCHOOL Learning</v>
      </c>
      <c r="J10" s="63">
        <v>1</v>
      </c>
      <c r="K10" s="2"/>
      <c r="L10" s="2">
        <v>2</v>
      </c>
      <c r="M10" s="2">
        <v>1</v>
      </c>
      <c r="N10" s="2">
        <v>3</v>
      </c>
      <c r="O10" s="2">
        <v>2</v>
      </c>
      <c r="P10" s="2">
        <v>1</v>
      </c>
      <c r="Q10" s="2">
        <v>1</v>
      </c>
      <c r="R10">
        <v>10</v>
      </c>
      <c r="AG10" s="151" t="s">
        <v>268</v>
      </c>
    </row>
    <row r="11" spans="1:43" ht="45.75">
      <c r="A11" s="2">
        <v>10</v>
      </c>
      <c r="B11" s="3" t="s">
        <v>236</v>
      </c>
      <c r="C11" s="4" t="s">
        <v>237</v>
      </c>
      <c r="D11" s="2" t="str">
        <f t="shared" si="0"/>
        <v xml:space="preserve"> SCHOOL Learning</v>
      </c>
      <c r="J11" s="63">
        <v>2</v>
      </c>
      <c r="K11" s="2">
        <v>1</v>
      </c>
      <c r="L11" s="2">
        <v>1</v>
      </c>
      <c r="M11" s="2">
        <v>1</v>
      </c>
      <c r="N11" s="2">
        <v>3</v>
      </c>
      <c r="O11" s="2">
        <v>2</v>
      </c>
      <c r="P11" s="2">
        <v>3</v>
      </c>
      <c r="Q11" s="2">
        <v>3</v>
      </c>
      <c r="R11">
        <v>14</v>
      </c>
      <c r="AG11" s="151" t="s">
        <v>252</v>
      </c>
    </row>
    <row r="12" spans="1:43" ht="30.75">
      <c r="A12" s="2">
        <v>11</v>
      </c>
      <c r="B12" s="3" t="s">
        <v>238</v>
      </c>
      <c r="C12" s="4">
        <v>1</v>
      </c>
      <c r="D12" s="2" t="str">
        <f t="shared" si="0"/>
        <v xml:space="preserve"> LIFE SKILLS</v>
      </c>
      <c r="J12" s="63">
        <v>3</v>
      </c>
      <c r="K12" s="2">
        <v>1</v>
      </c>
      <c r="L12" s="2">
        <v>2</v>
      </c>
      <c r="M12" s="2">
        <v>1</v>
      </c>
      <c r="N12" s="2">
        <v>1</v>
      </c>
      <c r="O12" s="2">
        <v>1</v>
      </c>
      <c r="P12" s="2"/>
      <c r="Q12" s="2">
        <v>2</v>
      </c>
      <c r="R12">
        <v>8</v>
      </c>
      <c r="AG12" s="152" t="s">
        <v>222</v>
      </c>
    </row>
    <row r="13" spans="1:43" ht="78.75">
      <c r="A13" s="2">
        <v>12</v>
      </c>
      <c r="B13" s="3" t="s">
        <v>240</v>
      </c>
      <c r="C13" s="4">
        <v>0</v>
      </c>
      <c r="D13" s="2" t="str">
        <f t="shared" si="0"/>
        <v>Family</v>
      </c>
      <c r="J13" s="63" t="s">
        <v>237</v>
      </c>
      <c r="K13" s="2"/>
      <c r="L13" s="2">
        <v>1</v>
      </c>
      <c r="M13" s="2">
        <v>1</v>
      </c>
      <c r="N13" s="2">
        <v>1</v>
      </c>
      <c r="O13" s="2">
        <v>2</v>
      </c>
      <c r="P13" s="2">
        <v>1</v>
      </c>
      <c r="Q13" s="2">
        <v>1</v>
      </c>
      <c r="R13">
        <v>7</v>
      </c>
      <c r="AG13" s="149" t="s">
        <v>258</v>
      </c>
      <c r="AH13" t="s">
        <v>432</v>
      </c>
    </row>
    <row r="14" spans="1:43" ht="30.75">
      <c r="A14" s="2">
        <v>13</v>
      </c>
      <c r="B14" s="3" t="s">
        <v>242</v>
      </c>
      <c r="C14" s="4" t="s">
        <v>237</v>
      </c>
      <c r="D14" s="2" t="str">
        <f t="shared" si="0"/>
        <v>SCHOOL Behaviour</v>
      </c>
      <c r="J14" s="56" t="s">
        <v>347</v>
      </c>
      <c r="K14" s="2">
        <v>3</v>
      </c>
      <c r="L14" s="2">
        <v>10</v>
      </c>
      <c r="M14" s="2">
        <v>4</v>
      </c>
      <c r="N14" s="2">
        <v>10</v>
      </c>
      <c r="O14" s="2">
        <v>10</v>
      </c>
      <c r="P14" s="2">
        <v>6</v>
      </c>
      <c r="Q14" s="2">
        <v>7</v>
      </c>
      <c r="R14">
        <v>50</v>
      </c>
      <c r="AG14" s="151" t="s">
        <v>234</v>
      </c>
    </row>
    <row r="15" spans="1:43">
      <c r="A15" s="2">
        <v>14</v>
      </c>
      <c r="B15" s="3" t="s">
        <v>244</v>
      </c>
      <c r="C15" s="4">
        <v>3</v>
      </c>
      <c r="D15" s="2" t="str">
        <f t="shared" si="0"/>
        <v xml:space="preserve"> SCHOOL Learning</v>
      </c>
      <c r="N15">
        <f>O16</f>
        <v>0</v>
      </c>
      <c r="AG15" s="147" t="s">
        <v>244</v>
      </c>
    </row>
    <row r="16" spans="1:43" ht="60.75">
      <c r="A16" s="2">
        <v>15</v>
      </c>
      <c r="B16" s="3" t="s">
        <v>246</v>
      </c>
      <c r="C16" s="4">
        <v>1</v>
      </c>
      <c r="D16" s="2" t="str">
        <f t="shared" si="0"/>
        <v>Family</v>
      </c>
      <c r="AG16" s="151" t="s">
        <v>236</v>
      </c>
      <c r="AQ16" s="150"/>
    </row>
    <row r="17" spans="1:43" ht="45.75">
      <c r="A17" s="2">
        <v>16</v>
      </c>
      <c r="B17" s="3" t="s">
        <v>248</v>
      </c>
      <c r="C17" s="4">
        <v>2</v>
      </c>
      <c r="D17" s="2" t="str">
        <f t="shared" si="0"/>
        <v>Family</v>
      </c>
      <c r="AG17" s="152" t="s">
        <v>226</v>
      </c>
      <c r="AH17" t="s">
        <v>433</v>
      </c>
      <c r="AQ17" s="149"/>
    </row>
    <row r="18" spans="1:43" ht="78.75">
      <c r="A18" s="2">
        <v>17</v>
      </c>
      <c r="B18" s="3" t="s">
        <v>250</v>
      </c>
      <c r="C18" s="4">
        <v>3</v>
      </c>
      <c r="D18" s="2" t="str">
        <f t="shared" si="0"/>
        <v>Family</v>
      </c>
      <c r="AG18" s="149" t="s">
        <v>266</v>
      </c>
      <c r="AQ18" s="147"/>
    </row>
    <row r="19" spans="1:43" ht="30.75">
      <c r="A19" s="2">
        <v>18</v>
      </c>
      <c r="B19" s="3" t="s">
        <v>252</v>
      </c>
      <c r="C19" s="4" t="s">
        <v>237</v>
      </c>
      <c r="D19" s="2" t="str">
        <f t="shared" si="0"/>
        <v>Family</v>
      </c>
      <c r="AG19" s="151" t="s">
        <v>260</v>
      </c>
      <c r="AQ19" s="147"/>
    </row>
    <row r="20" spans="1:43" ht="45.75">
      <c r="A20" s="2">
        <v>19</v>
      </c>
      <c r="B20" s="3" t="s">
        <v>254</v>
      </c>
      <c r="C20" s="4">
        <v>0</v>
      </c>
      <c r="D20" s="2" t="str">
        <f t="shared" si="0"/>
        <v xml:space="preserve"> LIFE SKILLS</v>
      </c>
      <c r="AG20" s="151" t="s">
        <v>224</v>
      </c>
      <c r="AQ20" s="147"/>
    </row>
    <row r="21" spans="1:43" ht="45.75">
      <c r="A21" s="2">
        <v>20</v>
      </c>
      <c r="B21" s="3" t="s">
        <v>256</v>
      </c>
      <c r="C21" s="4">
        <v>3</v>
      </c>
      <c r="D21" s="2" t="str">
        <f t="shared" si="0"/>
        <v xml:space="preserve"> LIFE SKILLS</v>
      </c>
      <c r="AG21" s="151" t="s">
        <v>232</v>
      </c>
      <c r="AQ21" s="148"/>
    </row>
    <row r="22" spans="1:43" ht="30.75">
      <c r="A22" s="2">
        <v>21</v>
      </c>
      <c r="B22" s="3" t="s">
        <v>258</v>
      </c>
      <c r="C22" s="4">
        <v>1</v>
      </c>
      <c r="D22" s="2" t="str">
        <f t="shared" si="0"/>
        <v xml:space="preserve"> SCHOOL Learning</v>
      </c>
      <c r="AG22" s="152" t="s">
        <v>242</v>
      </c>
      <c r="AQ22" s="149"/>
    </row>
    <row r="23" spans="1:43" ht="78.75">
      <c r="A23" s="2">
        <v>22</v>
      </c>
      <c r="B23" s="3" t="s">
        <v>260</v>
      </c>
      <c r="C23" s="4">
        <v>1</v>
      </c>
      <c r="D23" s="2" t="str">
        <f t="shared" si="0"/>
        <v>SCHOOL Behaviour</v>
      </c>
      <c r="AG23" s="149" t="s">
        <v>230</v>
      </c>
      <c r="AH23" t="s">
        <v>434</v>
      </c>
      <c r="AQ23" s="147"/>
    </row>
    <row r="24" spans="1:43" ht="60.75">
      <c r="A24" s="2">
        <v>23</v>
      </c>
      <c r="B24" s="3" t="s">
        <v>262</v>
      </c>
      <c r="C24" s="4">
        <v>0</v>
      </c>
      <c r="D24" s="2" t="str">
        <f t="shared" si="0"/>
        <v xml:space="preserve"> LIFE SKILLS</v>
      </c>
      <c r="AG24" s="151" t="s">
        <v>238</v>
      </c>
      <c r="AQ24" s="147"/>
    </row>
    <row r="25" spans="1:43" ht="30.75">
      <c r="A25" s="2">
        <v>24</v>
      </c>
      <c r="B25" s="3" t="s">
        <v>264</v>
      </c>
      <c r="C25" s="4">
        <v>1</v>
      </c>
      <c r="D25" s="2" t="str">
        <f t="shared" si="0"/>
        <v>Family</v>
      </c>
      <c r="AG25" s="151" t="s">
        <v>256</v>
      </c>
      <c r="AQ25" s="147"/>
    </row>
    <row r="26" spans="1:43" ht="30.75">
      <c r="A26" s="2">
        <v>25</v>
      </c>
      <c r="B26" s="3" t="s">
        <v>266</v>
      </c>
      <c r="C26" s="4">
        <v>0</v>
      </c>
      <c r="D26" s="2" t="str">
        <f t="shared" si="0"/>
        <v>SCHOOL Behaviour</v>
      </c>
      <c r="AG26" s="151" t="s">
        <v>254</v>
      </c>
      <c r="AQ26" s="148"/>
    </row>
    <row r="27" spans="1:43" ht="45.75">
      <c r="A27" s="2">
        <v>26</v>
      </c>
      <c r="B27" s="3" t="s">
        <v>268</v>
      </c>
      <c r="C27" s="4">
        <v>2</v>
      </c>
      <c r="D27" s="2" t="str">
        <f t="shared" si="0"/>
        <v>Family</v>
      </c>
      <c r="AG27" s="152" t="s">
        <v>228</v>
      </c>
      <c r="AQ27" s="150"/>
    </row>
    <row r="28" spans="1:43" ht="45.75">
      <c r="A28" s="2">
        <v>27</v>
      </c>
      <c r="B28" s="3" t="s">
        <v>270</v>
      </c>
      <c r="C28" s="4">
        <v>3</v>
      </c>
      <c r="D28" s="2" t="str">
        <f t="shared" si="0"/>
        <v>SOCIAL ACTIVITIES</v>
      </c>
      <c r="AG28" s="149" t="s">
        <v>262</v>
      </c>
      <c r="AQ28" s="149"/>
    </row>
    <row r="29" spans="1:43" ht="30.75">
      <c r="A29" s="2">
        <v>28</v>
      </c>
      <c r="B29" s="3" t="s">
        <v>272</v>
      </c>
      <c r="C29" s="4">
        <v>2</v>
      </c>
      <c r="D29" s="2" t="str">
        <f t="shared" si="0"/>
        <v xml:space="preserve"> LIFE SKILLS</v>
      </c>
      <c r="AG29" s="151" t="s">
        <v>280</v>
      </c>
      <c r="AQ29" s="147"/>
    </row>
    <row r="30" spans="1:43" ht="30.75">
      <c r="A30" s="2">
        <v>29</v>
      </c>
      <c r="B30" s="3" t="s">
        <v>274</v>
      </c>
      <c r="C30" s="4">
        <v>1</v>
      </c>
      <c r="D30" s="2" t="str">
        <f t="shared" si="0"/>
        <v>SOCIAL ACTIVITIES</v>
      </c>
      <c r="AG30" s="147" t="s">
        <v>272</v>
      </c>
      <c r="AQ30" s="147"/>
    </row>
    <row r="31" spans="1:43" ht="30.75">
      <c r="A31" s="2">
        <v>30</v>
      </c>
      <c r="B31" s="3" t="s">
        <v>276</v>
      </c>
      <c r="C31" s="4">
        <v>2</v>
      </c>
      <c r="D31" s="2" t="str">
        <f t="shared" si="0"/>
        <v>SOCIAL ACTIVITIES</v>
      </c>
      <c r="AG31" s="151" t="s">
        <v>288</v>
      </c>
      <c r="AQ31" s="147"/>
    </row>
    <row r="32" spans="1:43" ht="76.5">
      <c r="A32" s="2">
        <v>31</v>
      </c>
      <c r="B32" s="30" t="s">
        <v>351</v>
      </c>
      <c r="C32" s="4" t="s">
        <v>237</v>
      </c>
      <c r="D32" s="2" t="str">
        <f t="shared" si="0"/>
        <v xml:space="preserve"> LIFE SKILLS</v>
      </c>
      <c r="AG32" s="152" t="s">
        <v>278</v>
      </c>
      <c r="AQ32" s="148"/>
    </row>
    <row r="33" spans="1:43" ht="78.75">
      <c r="A33" s="2">
        <v>32</v>
      </c>
      <c r="B33" s="3" t="s">
        <v>280</v>
      </c>
      <c r="C33" s="4">
        <v>1</v>
      </c>
      <c r="D33" s="2" t="str">
        <f t="shared" si="0"/>
        <v xml:space="preserve"> LIFE SKILLS</v>
      </c>
      <c r="AG33" s="149" t="s">
        <v>296</v>
      </c>
      <c r="AQ33" s="149"/>
    </row>
    <row r="34" spans="1:43" ht="30.75">
      <c r="A34" s="2">
        <v>33</v>
      </c>
      <c r="B34" s="3" t="s">
        <v>282</v>
      </c>
      <c r="C34" s="4">
        <v>2</v>
      </c>
      <c r="D34" s="2" t="str">
        <f t="shared" ref="D34:D51" si="1">VLOOKUP(B34,WeissGroup,2,FALSE)</f>
        <v>SOCIAL ACTIVITIES</v>
      </c>
      <c r="AG34" s="151" t="s">
        <v>290</v>
      </c>
      <c r="AQ34" s="147"/>
    </row>
    <row r="35" spans="1:43" ht="45.75">
      <c r="A35" s="2">
        <v>34</v>
      </c>
      <c r="B35" s="3" t="s">
        <v>284</v>
      </c>
      <c r="C35" s="4">
        <v>3</v>
      </c>
      <c r="D35" s="2" t="str">
        <f t="shared" si="1"/>
        <v>SOCIAL ACTIVITIES</v>
      </c>
      <c r="AG35" s="151" t="s">
        <v>292</v>
      </c>
      <c r="AQ35" s="147"/>
    </row>
    <row r="36" spans="1:43" ht="45.75">
      <c r="A36" s="2">
        <v>35</v>
      </c>
      <c r="B36" s="3" t="s">
        <v>286</v>
      </c>
      <c r="C36" s="4">
        <v>2</v>
      </c>
      <c r="D36" s="2" t="str">
        <f t="shared" si="1"/>
        <v>SOCIAL ACTIVITIES</v>
      </c>
      <c r="AG36" s="151" t="s">
        <v>274</v>
      </c>
      <c r="AH36" t="s">
        <v>435</v>
      </c>
      <c r="AQ36" s="147"/>
    </row>
    <row r="37" spans="1:43" ht="30.75">
      <c r="A37" s="2">
        <v>36</v>
      </c>
      <c r="B37" s="3" t="s">
        <v>288</v>
      </c>
      <c r="C37" s="4">
        <v>0</v>
      </c>
      <c r="D37" s="2" t="str">
        <f t="shared" si="1"/>
        <v xml:space="preserve"> LIFE SKILLS</v>
      </c>
      <c r="AG37" s="152" t="s">
        <v>276</v>
      </c>
      <c r="AQ37" s="148"/>
    </row>
    <row r="38" spans="1:43" ht="78.75">
      <c r="A38" s="2">
        <v>37</v>
      </c>
      <c r="B38" s="3" t="s">
        <v>290</v>
      </c>
      <c r="C38" s="4">
        <v>2</v>
      </c>
      <c r="D38" s="2" t="str">
        <f t="shared" si="1"/>
        <v xml:space="preserve"> CHILD'S SELF-CONCEPT</v>
      </c>
      <c r="AG38" s="149" t="s">
        <v>282</v>
      </c>
      <c r="AQ38" s="150"/>
    </row>
    <row r="39" spans="1:43" ht="76.5">
      <c r="A39" s="2">
        <v>38</v>
      </c>
      <c r="B39" s="3" t="s">
        <v>292</v>
      </c>
      <c r="C39" s="4">
        <v>0</v>
      </c>
      <c r="D39" s="2" t="str">
        <f t="shared" si="1"/>
        <v xml:space="preserve"> CHILD'S SELF-CONCEPT</v>
      </c>
      <c r="AG39" s="151" t="s">
        <v>270</v>
      </c>
      <c r="AQ39" s="149"/>
    </row>
    <row r="40" spans="1:43" ht="30.75">
      <c r="A40" s="2">
        <v>39</v>
      </c>
      <c r="B40" s="3" t="s">
        <v>294</v>
      </c>
      <c r="C40" s="4" t="s">
        <v>237</v>
      </c>
      <c r="D40" s="2" t="str">
        <f t="shared" si="1"/>
        <v>SOCIAL ACTIVITIES</v>
      </c>
      <c r="AG40" s="151" t="s">
        <v>286</v>
      </c>
      <c r="AQ40" s="147"/>
    </row>
    <row r="41" spans="1:43" ht="30.75">
      <c r="A41" s="2">
        <v>40</v>
      </c>
      <c r="B41" s="3" t="s">
        <v>296</v>
      </c>
      <c r="C41" s="4">
        <v>3</v>
      </c>
      <c r="D41" s="2" t="str">
        <f t="shared" si="1"/>
        <v xml:space="preserve"> CHILD'S SELF-CONCEPT</v>
      </c>
      <c r="AG41" s="151" t="s">
        <v>284</v>
      </c>
      <c r="AQ41" s="147"/>
    </row>
    <row r="42" spans="1:43" ht="76.5">
      <c r="A42" s="2">
        <v>41</v>
      </c>
      <c r="B42" s="3" t="s">
        <v>298</v>
      </c>
      <c r="C42" s="4" t="s">
        <v>237</v>
      </c>
      <c r="D42" s="2" t="str">
        <f t="shared" si="1"/>
        <v>RISKY ACTIVITIES</v>
      </c>
      <c r="AG42" s="152" t="s">
        <v>294</v>
      </c>
      <c r="AQ42" s="147"/>
    </row>
    <row r="43" spans="1:43" ht="78.75">
      <c r="A43" s="2">
        <v>42</v>
      </c>
      <c r="B43" s="3" t="s">
        <v>300</v>
      </c>
      <c r="C43" s="4">
        <v>1</v>
      </c>
      <c r="D43" s="2" t="str">
        <f t="shared" si="1"/>
        <v>RISKY ACTIVITIES</v>
      </c>
      <c r="R43" s="45"/>
      <c r="S43" s="45" t="s">
        <v>217</v>
      </c>
      <c r="AG43" s="149" t="s">
        <v>310</v>
      </c>
      <c r="AH43" t="s">
        <v>436</v>
      </c>
      <c r="AQ43" s="148"/>
    </row>
    <row r="44" spans="1:43" ht="76.5">
      <c r="A44" s="2">
        <v>43</v>
      </c>
      <c r="B44" s="3" t="s">
        <v>302</v>
      </c>
      <c r="C44" s="4">
        <v>0</v>
      </c>
      <c r="D44" s="2" t="str">
        <f t="shared" si="1"/>
        <v>RISKY ACTIVITIES</v>
      </c>
      <c r="Q44">
        <v>1</v>
      </c>
      <c r="R44" s="30" t="s">
        <v>250</v>
      </c>
      <c r="S44" s="45" t="s">
        <v>217</v>
      </c>
      <c r="AG44" s="151" t="s">
        <v>300</v>
      </c>
      <c r="AQ44" s="149"/>
    </row>
    <row r="45" spans="1:43" ht="60.75">
      <c r="A45" s="2">
        <v>44</v>
      </c>
      <c r="B45" s="3" t="s">
        <v>304</v>
      </c>
      <c r="C45" s="4">
        <v>2</v>
      </c>
      <c r="D45" s="2" t="str">
        <f t="shared" si="1"/>
        <v>RISKY ACTIVITIES</v>
      </c>
      <c r="Q45">
        <v>2</v>
      </c>
      <c r="R45" s="30" t="s">
        <v>220</v>
      </c>
      <c r="S45" s="45" t="s">
        <v>217</v>
      </c>
      <c r="AG45" s="151" t="s">
        <v>304</v>
      </c>
      <c r="AQ45" s="147"/>
    </row>
    <row r="46" spans="1:43" ht="91.5">
      <c r="A46" s="2">
        <v>45</v>
      </c>
      <c r="B46" s="3" t="s">
        <v>306</v>
      </c>
      <c r="C46" s="4">
        <v>0</v>
      </c>
      <c r="D46" s="2" t="str">
        <f t="shared" si="1"/>
        <v>RISKY ACTIVITIES</v>
      </c>
      <c r="Q46">
        <v>3</v>
      </c>
      <c r="R46" s="30" t="s">
        <v>264</v>
      </c>
      <c r="S46" s="45" t="s">
        <v>217</v>
      </c>
      <c r="AG46" s="151" t="s">
        <v>312</v>
      </c>
      <c r="AQ46" s="147"/>
    </row>
    <row r="47" spans="1:43" ht="45.75">
      <c r="A47" s="2">
        <v>46</v>
      </c>
      <c r="B47" s="3" t="s">
        <v>308</v>
      </c>
      <c r="C47" s="4">
        <v>1</v>
      </c>
      <c r="D47" s="2" t="str">
        <f t="shared" si="1"/>
        <v>RISKY ACTIVITIES</v>
      </c>
      <c r="Q47">
        <v>4</v>
      </c>
      <c r="R47" s="30" t="s">
        <v>218</v>
      </c>
      <c r="S47" s="45" t="s">
        <v>217</v>
      </c>
      <c r="AG47" s="152" t="s">
        <v>298</v>
      </c>
      <c r="AQ47" s="147"/>
    </row>
    <row r="48" spans="1:43" ht="91.5">
      <c r="A48" s="2">
        <v>47</v>
      </c>
      <c r="B48" s="3" t="s">
        <v>310</v>
      </c>
      <c r="C48" s="4">
        <v>0</v>
      </c>
      <c r="D48" s="2" t="str">
        <f t="shared" si="1"/>
        <v>RISKY ACTIVITIES</v>
      </c>
      <c r="Q48">
        <v>5</v>
      </c>
      <c r="R48" s="30" t="s">
        <v>240</v>
      </c>
      <c r="S48" s="45" t="s">
        <v>217</v>
      </c>
      <c r="AG48" s="149" t="s">
        <v>306</v>
      </c>
      <c r="AQ48" s="148"/>
    </row>
    <row r="49" spans="1:43" ht="76.5">
      <c r="A49" s="2">
        <v>48</v>
      </c>
      <c r="B49" s="3" t="s">
        <v>312</v>
      </c>
      <c r="C49" s="4">
        <v>3</v>
      </c>
      <c r="D49" s="2" t="str">
        <f t="shared" si="1"/>
        <v>RISKY ACTIVITIES</v>
      </c>
      <c r="Q49">
        <v>6</v>
      </c>
      <c r="R49" s="30" t="s">
        <v>246</v>
      </c>
      <c r="S49" s="45" t="s">
        <v>217</v>
      </c>
      <c r="AG49" s="151" t="s">
        <v>302</v>
      </c>
      <c r="AQ49" s="149"/>
    </row>
    <row r="50" spans="1:43" ht="45.75">
      <c r="A50" s="2">
        <v>49</v>
      </c>
      <c r="B50" s="3" t="s">
        <v>314</v>
      </c>
      <c r="C50" s="4">
        <v>2</v>
      </c>
      <c r="D50" s="2" t="str">
        <f t="shared" si="1"/>
        <v>RISKY ACTIVITIES</v>
      </c>
      <c r="Q50">
        <v>7</v>
      </c>
      <c r="R50" s="30" t="s">
        <v>248</v>
      </c>
      <c r="S50" s="45" t="s">
        <v>217</v>
      </c>
      <c r="AG50" s="151" t="s">
        <v>308</v>
      </c>
      <c r="AQ50" s="147"/>
    </row>
    <row r="51" spans="1:43" ht="91.5">
      <c r="A51" s="2">
        <v>50</v>
      </c>
      <c r="B51" s="3" t="s">
        <v>316</v>
      </c>
      <c r="C51" s="3" t="s">
        <v>237</v>
      </c>
      <c r="D51" s="2" t="str">
        <f t="shared" si="1"/>
        <v>RISKY ACTIVITIES</v>
      </c>
      <c r="Q51">
        <v>8</v>
      </c>
      <c r="R51" s="30" t="s">
        <v>268</v>
      </c>
      <c r="S51" s="45" t="s">
        <v>217</v>
      </c>
      <c r="AG51" s="151" t="s">
        <v>314</v>
      </c>
      <c r="AQ51" s="147"/>
    </row>
    <row r="52" spans="1:43" ht="76.5">
      <c r="C52" s="60"/>
      <c r="Q52">
        <v>9</v>
      </c>
      <c r="R52" s="30" t="s">
        <v>252</v>
      </c>
      <c r="S52" s="45" t="s">
        <v>217</v>
      </c>
      <c r="AG52" s="152" t="s">
        <v>316</v>
      </c>
      <c r="AQ52" s="147"/>
    </row>
    <row r="53" spans="1:43" ht="60" customHeight="1">
      <c r="Q53">
        <v>10</v>
      </c>
      <c r="R53" s="30" t="s">
        <v>222</v>
      </c>
      <c r="S53" s="45" t="s">
        <v>217</v>
      </c>
      <c r="AG53" s="150"/>
      <c r="AQ53" s="148"/>
    </row>
    <row r="54" spans="1:43" ht="30.75">
      <c r="R54" s="45" t="s">
        <v>344</v>
      </c>
      <c r="S54" s="45" t="s">
        <v>344</v>
      </c>
      <c r="AG54" s="149"/>
      <c r="AQ54" s="149"/>
    </row>
    <row r="55" spans="1:43" ht="30.75">
      <c r="Q55">
        <v>11</v>
      </c>
      <c r="R55" s="45"/>
      <c r="S55" s="45" t="s">
        <v>344</v>
      </c>
      <c r="AG55" s="147"/>
      <c r="AQ55" s="147"/>
    </row>
    <row r="56" spans="1:43" ht="76.5">
      <c r="Q56">
        <v>12</v>
      </c>
      <c r="R56" s="30" t="s">
        <v>258</v>
      </c>
      <c r="S56" s="45" t="s">
        <v>344</v>
      </c>
      <c r="AG56" s="147"/>
      <c r="AQ56" s="147"/>
    </row>
    <row r="57" spans="1:43" ht="45.75">
      <c r="Q57">
        <v>13</v>
      </c>
      <c r="R57" s="30" t="s">
        <v>234</v>
      </c>
      <c r="S57" s="45" t="s">
        <v>344</v>
      </c>
      <c r="AG57" s="147"/>
      <c r="AQ57" s="147"/>
    </row>
    <row r="58" spans="1:43" ht="30.75">
      <c r="Q58">
        <v>14</v>
      </c>
      <c r="R58" s="30" t="s">
        <v>244</v>
      </c>
      <c r="S58" s="45" t="s">
        <v>344</v>
      </c>
      <c r="AG58" s="148"/>
      <c r="AQ58" s="148"/>
    </row>
    <row r="59" spans="1:43" ht="76.5">
      <c r="Q59">
        <v>15</v>
      </c>
      <c r="R59" s="30" t="s">
        <v>236</v>
      </c>
      <c r="S59" s="45" t="s">
        <v>344</v>
      </c>
      <c r="AG59" s="149"/>
      <c r="AQ59" s="149"/>
    </row>
    <row r="60" spans="1:43" ht="45.75">
      <c r="R60" s="46"/>
      <c r="S60" s="46" t="s">
        <v>345</v>
      </c>
      <c r="AG60" s="147"/>
      <c r="AQ60" s="147"/>
    </row>
    <row r="61" spans="1:43" ht="91.5">
      <c r="Q61">
        <v>16</v>
      </c>
      <c r="R61" s="30" t="s">
        <v>226</v>
      </c>
      <c r="S61" s="46" t="s">
        <v>345</v>
      </c>
      <c r="AG61" s="147"/>
      <c r="AQ61" s="147"/>
    </row>
    <row r="62" spans="1:43" ht="76.5">
      <c r="Q62">
        <v>17</v>
      </c>
      <c r="R62" s="30" t="s">
        <v>266</v>
      </c>
      <c r="S62" s="46" t="s">
        <v>345</v>
      </c>
      <c r="AG62" s="147"/>
      <c r="AQ62" s="147"/>
    </row>
    <row r="63" spans="1:43" ht="60.75">
      <c r="Q63">
        <v>18</v>
      </c>
      <c r="R63" s="30" t="s">
        <v>260</v>
      </c>
      <c r="S63" s="46" t="s">
        <v>345</v>
      </c>
      <c r="AG63" s="148"/>
      <c r="AQ63" s="148"/>
    </row>
    <row r="64" spans="1:43" ht="76.5">
      <c r="Q64">
        <v>19</v>
      </c>
      <c r="R64" s="30" t="s">
        <v>224</v>
      </c>
      <c r="S64" s="46" t="s">
        <v>345</v>
      </c>
      <c r="AG64" s="149"/>
      <c r="AQ64" s="149"/>
    </row>
    <row r="65" spans="2:43" ht="45.75">
      <c r="Q65">
        <v>20</v>
      </c>
      <c r="R65" s="30" t="s">
        <v>232</v>
      </c>
      <c r="S65" s="46" t="s">
        <v>345</v>
      </c>
      <c r="AG65" s="147"/>
      <c r="AQ65" s="147"/>
    </row>
    <row r="66" spans="2:43" ht="60.75">
      <c r="Q66">
        <v>21</v>
      </c>
      <c r="R66" s="30" t="s">
        <v>242</v>
      </c>
      <c r="S66" s="46" t="s">
        <v>345</v>
      </c>
      <c r="AG66" s="147"/>
      <c r="AQ66" s="147"/>
    </row>
    <row r="67" spans="2:43" ht="30.75">
      <c r="R67" s="45" t="s">
        <v>265</v>
      </c>
      <c r="S67" s="45" t="s">
        <v>265</v>
      </c>
      <c r="AG67" s="147"/>
      <c r="AQ67" s="147"/>
    </row>
    <row r="68" spans="2:43" ht="76.5">
      <c r="Q68">
        <v>22</v>
      </c>
      <c r="R68" s="30" t="s">
        <v>230</v>
      </c>
      <c r="S68" s="45" t="s">
        <v>265</v>
      </c>
      <c r="AG68" s="148"/>
      <c r="AQ68" s="148"/>
    </row>
    <row r="69" spans="2:43" ht="137.25">
      <c r="Q69">
        <v>23</v>
      </c>
      <c r="R69" s="30" t="s">
        <v>350</v>
      </c>
      <c r="S69" s="45" t="s">
        <v>265</v>
      </c>
      <c r="AG69" s="149"/>
      <c r="AQ69" s="149"/>
    </row>
    <row r="70" spans="2:43" ht="60.75">
      <c r="Q70">
        <v>24</v>
      </c>
      <c r="R70" s="30" t="s">
        <v>256</v>
      </c>
      <c r="S70" s="45" t="s">
        <v>265</v>
      </c>
      <c r="AG70" s="147"/>
      <c r="AQ70" s="147"/>
    </row>
    <row r="71" spans="2:43" ht="60.75">
      <c r="Q71">
        <v>25</v>
      </c>
      <c r="R71" s="30" t="s">
        <v>254</v>
      </c>
      <c r="S71" s="45" t="s">
        <v>265</v>
      </c>
      <c r="AG71" s="147"/>
      <c r="AQ71" s="147"/>
    </row>
    <row r="72" spans="2:43" ht="60.75">
      <c r="Q72">
        <v>26</v>
      </c>
      <c r="R72" s="30" t="s">
        <v>228</v>
      </c>
      <c r="S72" s="45" t="s">
        <v>265</v>
      </c>
      <c r="AG72" s="147"/>
      <c r="AQ72" s="147"/>
    </row>
    <row r="73" spans="2:43" ht="45.75">
      <c r="Q73">
        <v>27</v>
      </c>
      <c r="R73" s="30" t="s">
        <v>262</v>
      </c>
      <c r="S73" s="45" t="s">
        <v>265</v>
      </c>
      <c r="AG73" s="148"/>
      <c r="AQ73" s="148"/>
    </row>
    <row r="74" spans="2:43" ht="30" customHeight="1">
      <c r="Q74">
        <v>28</v>
      </c>
      <c r="R74" s="30" t="s">
        <v>280</v>
      </c>
      <c r="S74" s="45" t="s">
        <v>265</v>
      </c>
      <c r="AG74" s="150"/>
      <c r="AQ74" s="149"/>
    </row>
    <row r="75" spans="2:43" ht="30.75">
      <c r="B75" s="28"/>
      <c r="C75" s="28"/>
      <c r="Q75">
        <v>29</v>
      </c>
      <c r="R75" s="30" t="s">
        <v>272</v>
      </c>
      <c r="S75" s="45" t="s">
        <v>265</v>
      </c>
      <c r="AG75" s="149"/>
      <c r="AQ75" s="147"/>
    </row>
    <row r="76" spans="2:43" ht="60.75">
      <c r="Q76">
        <v>30</v>
      </c>
      <c r="R76" s="30" t="s">
        <v>288</v>
      </c>
      <c r="S76" s="45" t="s">
        <v>265</v>
      </c>
      <c r="AG76" s="147"/>
      <c r="AQ76" s="147"/>
    </row>
    <row r="77" spans="2:43" ht="121.5">
      <c r="Q77">
        <v>31</v>
      </c>
      <c r="R77" s="30" t="s">
        <v>351</v>
      </c>
      <c r="S77" s="45" t="s">
        <v>265</v>
      </c>
      <c r="AG77" s="147"/>
      <c r="AQ77" s="147"/>
    </row>
    <row r="78" spans="2:43" ht="45.75">
      <c r="R78" s="45"/>
      <c r="S78" s="45" t="s">
        <v>287</v>
      </c>
      <c r="AG78" s="147"/>
      <c r="AQ78" s="148"/>
    </row>
    <row r="79" spans="2:43" ht="60.75">
      <c r="Q79">
        <v>32</v>
      </c>
      <c r="R79" s="30" t="s">
        <v>296</v>
      </c>
      <c r="S79" s="45" t="s">
        <v>287</v>
      </c>
      <c r="AG79" s="148"/>
      <c r="AQ79" s="149"/>
    </row>
    <row r="80" spans="2:43" ht="60.75">
      <c r="Q80">
        <v>33</v>
      </c>
      <c r="R80" s="30" t="s">
        <v>290</v>
      </c>
      <c r="S80" s="45" t="s">
        <v>287</v>
      </c>
      <c r="AG80" s="149"/>
      <c r="AQ80" s="147"/>
    </row>
    <row r="81" spans="17:43" ht="60.75">
      <c r="Q81">
        <v>34</v>
      </c>
      <c r="R81" s="30" t="s">
        <v>292</v>
      </c>
      <c r="S81" s="45" t="s">
        <v>287</v>
      </c>
      <c r="AG81" s="147"/>
      <c r="AQ81" s="147"/>
    </row>
    <row r="82" spans="17:43" ht="45.75">
      <c r="R82" s="45"/>
      <c r="S82" s="45" t="s">
        <v>295</v>
      </c>
      <c r="AG82" s="147"/>
      <c r="AQ82" s="147"/>
    </row>
    <row r="83" spans="17:43" ht="76.5">
      <c r="Q83">
        <v>35</v>
      </c>
      <c r="R83" s="30" t="s">
        <v>274</v>
      </c>
      <c r="S83" s="45" t="s">
        <v>295</v>
      </c>
      <c r="AG83" s="147"/>
      <c r="AQ83" s="148"/>
    </row>
    <row r="84" spans="17:43" ht="60.75">
      <c r="Q84">
        <v>36</v>
      </c>
      <c r="R84" s="30" t="s">
        <v>276</v>
      </c>
      <c r="S84" s="45" t="s">
        <v>295</v>
      </c>
      <c r="AG84" s="148"/>
      <c r="AQ84" s="149"/>
    </row>
    <row r="85" spans="17:43" ht="76.5">
      <c r="Q85">
        <v>37</v>
      </c>
      <c r="R85" s="30" t="s">
        <v>282</v>
      </c>
      <c r="S85" s="45" t="s">
        <v>295</v>
      </c>
      <c r="AG85" s="149"/>
      <c r="AQ85" s="147"/>
    </row>
    <row r="86" spans="17:43" ht="121.5">
      <c r="Q86">
        <v>38</v>
      </c>
      <c r="R86" s="30" t="s">
        <v>270</v>
      </c>
      <c r="S86" s="45" t="s">
        <v>295</v>
      </c>
      <c r="AG86" s="147"/>
      <c r="AQ86" s="147"/>
    </row>
    <row r="87" spans="17:43" ht="45.75">
      <c r="Q87">
        <v>39</v>
      </c>
      <c r="R87" s="30" t="s">
        <v>286</v>
      </c>
      <c r="S87" s="45" t="s">
        <v>295</v>
      </c>
      <c r="AG87" s="147"/>
      <c r="AQ87" s="147"/>
    </row>
    <row r="88" spans="17:43" ht="45.75">
      <c r="Q88">
        <v>40</v>
      </c>
      <c r="R88" s="30" t="s">
        <v>284</v>
      </c>
      <c r="S88" s="45" t="s">
        <v>295</v>
      </c>
      <c r="AG88" s="147"/>
      <c r="AQ88" s="173"/>
    </row>
    <row r="89" spans="17:43" ht="106.5">
      <c r="Q89">
        <v>41</v>
      </c>
      <c r="R89" s="30" t="s">
        <v>294</v>
      </c>
      <c r="S89" s="45" t="s">
        <v>295</v>
      </c>
      <c r="AG89" s="148"/>
    </row>
    <row r="90" spans="17:43" ht="45.75">
      <c r="R90" s="45"/>
      <c r="S90" s="45" t="s">
        <v>311</v>
      </c>
      <c r="AG90" s="149"/>
    </row>
    <row r="91" spans="17:43" ht="76.5">
      <c r="Q91">
        <v>42</v>
      </c>
      <c r="R91" s="30" t="s">
        <v>310</v>
      </c>
      <c r="S91" s="45" t="s">
        <v>311</v>
      </c>
      <c r="AG91" s="147"/>
    </row>
    <row r="92" spans="17:43" ht="45.75">
      <c r="Q92">
        <v>43</v>
      </c>
      <c r="R92" s="30" t="s">
        <v>300</v>
      </c>
      <c r="S92" s="45" t="s">
        <v>311</v>
      </c>
      <c r="AG92" s="147"/>
    </row>
    <row r="93" spans="17:43" ht="45.75">
      <c r="Q93">
        <v>44</v>
      </c>
      <c r="R93" s="30" t="s">
        <v>304</v>
      </c>
      <c r="S93" s="45" t="s">
        <v>311</v>
      </c>
      <c r="AG93" s="147"/>
    </row>
    <row r="94" spans="17:43" ht="60.75">
      <c r="Q94">
        <v>45</v>
      </c>
      <c r="R94" s="30" t="s">
        <v>312</v>
      </c>
      <c r="S94" s="45" t="s">
        <v>311</v>
      </c>
      <c r="AG94" s="148"/>
    </row>
    <row r="95" spans="17:43" ht="45.75">
      <c r="Q95">
        <v>46</v>
      </c>
      <c r="R95" s="30" t="s">
        <v>298</v>
      </c>
      <c r="S95" s="45" t="s">
        <v>311</v>
      </c>
      <c r="AG95" s="149"/>
    </row>
    <row r="96" spans="17:43" ht="45.75">
      <c r="Q96">
        <v>47</v>
      </c>
      <c r="R96" s="30" t="s">
        <v>306</v>
      </c>
      <c r="S96" s="45" t="s">
        <v>311</v>
      </c>
      <c r="AG96" s="147"/>
    </row>
    <row r="97" spans="17:33" ht="45.75">
      <c r="Q97">
        <v>48</v>
      </c>
      <c r="R97" s="30" t="s">
        <v>302</v>
      </c>
      <c r="S97" s="45" t="s">
        <v>311</v>
      </c>
      <c r="AG97" s="147"/>
    </row>
    <row r="98" spans="17:33" ht="45.75">
      <c r="Q98">
        <v>49</v>
      </c>
      <c r="R98" s="30" t="s">
        <v>308</v>
      </c>
      <c r="S98" s="45" t="s">
        <v>311</v>
      </c>
      <c r="AG98" s="147"/>
    </row>
    <row r="99" spans="17:33" ht="60.75">
      <c r="Q99">
        <v>50</v>
      </c>
      <c r="R99" s="30" t="s">
        <v>314</v>
      </c>
      <c r="S99" s="45" t="s">
        <v>311</v>
      </c>
      <c r="AG99" s="148"/>
    </row>
    <row r="100" spans="17:33" ht="60.75">
      <c r="Q100">
        <v>51</v>
      </c>
      <c r="R100" s="30" t="s">
        <v>316</v>
      </c>
      <c r="S100" s="45" t="s">
        <v>311</v>
      </c>
      <c r="AG100" s="149"/>
    </row>
    <row r="101" spans="17:33">
      <c r="AG101" s="147"/>
    </row>
    <row r="102" spans="17:33">
      <c r="AG102" s="147"/>
    </row>
    <row r="103" spans="17:33">
      <c r="AG103" s="147"/>
    </row>
    <row r="104" spans="17:33">
      <c r="AG104" s="148"/>
    </row>
    <row r="105" spans="17:33" ht="17.25" customHeight="1"/>
    <row r="156" ht="17.25" customHeight="1"/>
    <row r="172" ht="17.25" customHeight="1"/>
    <row r="208" ht="17.25" customHeight="1"/>
  </sheetData>
  <autoFilter ref="B1:D102" xr:uid="{760A4BBB-127E-423E-A079-6D8BBA50D368}"/>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EC6DD-929A-4104-8B71-9D0402BBDA55}">
  <dimension ref="A4:AD34"/>
  <sheetViews>
    <sheetView topLeftCell="B1" workbookViewId="0">
      <selection activeCell="H2" sqref="H2"/>
    </sheetView>
  </sheetViews>
  <sheetFormatPr defaultRowHeight="15"/>
  <cols>
    <col min="1" max="1" width="68.85546875" customWidth="1"/>
    <col min="2" max="3" width="23.85546875" customWidth="1"/>
    <col min="4" max="4" width="31.28515625" customWidth="1"/>
    <col min="6" max="6" width="14.85546875" customWidth="1"/>
    <col min="7" max="7" width="22.85546875" customWidth="1"/>
    <col min="8" max="8" width="38.85546875" customWidth="1"/>
    <col min="9" max="9" width="21.7109375" customWidth="1"/>
    <col min="10" max="10" width="24.140625" bestFit="1" customWidth="1"/>
    <col min="11" max="11" width="21.5703125" bestFit="1" customWidth="1"/>
    <col min="12" max="12" width="23.28515625" bestFit="1" customWidth="1"/>
    <col min="13" max="13" width="25" bestFit="1" customWidth="1"/>
    <col min="14" max="14" width="25.85546875" bestFit="1" customWidth="1"/>
    <col min="15" max="16" width="26.42578125" bestFit="1" customWidth="1"/>
    <col min="21" max="21" width="6.85546875" customWidth="1"/>
    <col min="22" max="25" width="9.140625" hidden="1" customWidth="1"/>
    <col min="26" max="26" width="66.140625" style="29" customWidth="1"/>
    <col min="27" max="27" width="25.85546875" style="29" customWidth="1"/>
    <col min="28" max="30" width="11.85546875" style="29" customWidth="1"/>
  </cols>
  <sheetData>
    <row r="4" spans="1:30" ht="30">
      <c r="A4" s="275" t="s">
        <v>437</v>
      </c>
      <c r="B4" s="244"/>
      <c r="C4" s="244"/>
      <c r="D4" s="244"/>
      <c r="E4" s="244"/>
      <c r="F4" s="244"/>
      <c r="G4" s="244"/>
      <c r="H4" s="244"/>
      <c r="I4" s="59"/>
      <c r="Z4" s="49" t="s">
        <v>81</v>
      </c>
      <c r="AA4" s="49"/>
      <c r="AB4" s="49" t="s">
        <v>99</v>
      </c>
      <c r="AC4" s="49" t="s">
        <v>438</v>
      </c>
      <c r="AD4" s="49" t="s">
        <v>101</v>
      </c>
    </row>
    <row r="5" spans="1:30" s="42" customFormat="1">
      <c r="A5" s="39" t="s">
        <v>81</v>
      </c>
      <c r="B5" s="39" t="s">
        <v>439</v>
      </c>
      <c r="C5" s="39" t="s">
        <v>440</v>
      </c>
      <c r="D5" s="39" t="s">
        <v>363</v>
      </c>
      <c r="E5" s="39" t="s">
        <v>99</v>
      </c>
      <c r="F5" s="39" t="s">
        <v>438</v>
      </c>
      <c r="G5" s="39" t="s">
        <v>101</v>
      </c>
      <c r="H5" s="39" t="s">
        <v>441</v>
      </c>
      <c r="I5" s="39" t="s">
        <v>442</v>
      </c>
      <c r="Z5" s="45" t="s">
        <v>443</v>
      </c>
      <c r="AA5" s="45" t="s">
        <v>443</v>
      </c>
      <c r="AB5" s="30">
        <v>0</v>
      </c>
      <c r="AC5" s="30">
        <v>1</v>
      </c>
      <c r="AD5" s="30">
        <v>2</v>
      </c>
    </row>
    <row r="6" spans="1:30" ht="15.75" customHeight="1">
      <c r="A6" s="54" t="s">
        <v>102</v>
      </c>
      <c r="B6" s="2" t="s">
        <v>444</v>
      </c>
      <c r="C6" s="2" t="s">
        <v>101</v>
      </c>
      <c r="D6" s="2" t="str">
        <f t="shared" ref="D6:D31" si="0">VLOOKUP(A6,QuestionariesStrength2,2,)</f>
        <v>Prosocial scale</v>
      </c>
      <c r="E6" s="2">
        <f t="shared" ref="E6:E31" si="1">VLOOKUP(A6,StrengthNT,3,)</f>
        <v>0</v>
      </c>
      <c r="F6" s="2">
        <f t="shared" ref="F6:F31" si="2">VLOOKUP(A6,StrengthSWT,4,)</f>
        <v>1</v>
      </c>
      <c r="G6" s="2">
        <f t="shared" ref="G6:G31" si="3">VLOOKUP(A6,StrengthCT,5,)</f>
        <v>2</v>
      </c>
      <c r="H6" s="2" t="str">
        <f>IF(OR(B6="Not True", B6="SomeWhat True", B6="Certainly True"),
    INDEX(E6:G6, MATCH(B6, {"Not True","SomeWhat True","Certainly True"}, 0)),
    "")</f>
        <v/>
      </c>
      <c r="I6">
        <f>IF(C6="SomeWhat True",F6,IF(C6="Certainly True",G6,IF(C6="Not True",E6,"N/A")))</f>
        <v>2</v>
      </c>
      <c r="Z6" s="54" t="s">
        <v>104</v>
      </c>
      <c r="AA6" s="45" t="s">
        <v>443</v>
      </c>
      <c r="AB6" s="30">
        <v>0</v>
      </c>
      <c r="AC6" s="30">
        <v>1</v>
      </c>
      <c r="AD6" s="30">
        <v>2</v>
      </c>
    </row>
    <row r="7" spans="1:30" ht="15" customHeight="1">
      <c r="A7" s="54" t="s">
        <v>103</v>
      </c>
      <c r="B7" s="2" t="s">
        <v>99</v>
      </c>
      <c r="C7" s="2" t="s">
        <v>101</v>
      </c>
      <c r="D7" s="2" t="str">
        <f t="shared" si="0"/>
        <v>Hyperactivity scale</v>
      </c>
      <c r="E7" s="2">
        <f t="shared" si="1"/>
        <v>0</v>
      </c>
      <c r="F7" s="2">
        <f t="shared" si="2"/>
        <v>1</v>
      </c>
      <c r="G7" s="2">
        <f t="shared" si="3"/>
        <v>2</v>
      </c>
      <c r="H7" s="2">
        <f>IF(OR(B7="Not True", B7="SomeWhat True", B7="Certainly True"),
    INDEX(E7:G7, MATCH(B7, {"Not True","SomeWhat True","Certainly True"}, 0)),
    "")</f>
        <v>0</v>
      </c>
      <c r="I7">
        <f t="shared" ref="I7:I31" si="4">IF(C7="SomeWhat True",F7,IF(C7="Certainly True",G7,IF(C7="Not True",E7,"N/A")))</f>
        <v>2</v>
      </c>
      <c r="Z7" s="54" t="s">
        <v>109</v>
      </c>
      <c r="AA7" s="45" t="s">
        <v>443</v>
      </c>
      <c r="AB7" s="30">
        <v>0</v>
      </c>
      <c r="AC7" s="30">
        <v>1</v>
      </c>
      <c r="AD7" s="30">
        <v>2</v>
      </c>
    </row>
    <row r="8" spans="1:30" ht="15.75" customHeight="1">
      <c r="A8" s="54" t="s">
        <v>104</v>
      </c>
      <c r="B8" s="2" t="s">
        <v>99</v>
      </c>
      <c r="C8" s="2" t="s">
        <v>101</v>
      </c>
      <c r="D8" s="2" t="str">
        <f>VLOOKUP(A8,QuestionariesStrength2,2,)</f>
        <v>Emotional problems scale</v>
      </c>
      <c r="E8" s="2">
        <f t="shared" si="1"/>
        <v>0</v>
      </c>
      <c r="F8" s="2">
        <f t="shared" si="2"/>
        <v>1</v>
      </c>
      <c r="G8" s="2">
        <f t="shared" si="3"/>
        <v>2</v>
      </c>
      <c r="H8" s="2">
        <f>IF(OR(B8="Not True", B8="SomeWhat True", B8="Certainly True"),
    INDEX(E8:G8, MATCH(B8, {"Not True","SomeWhat True","Certainly True"}, 0)),
    "")</f>
        <v>0</v>
      </c>
      <c r="I8">
        <f t="shared" si="4"/>
        <v>2</v>
      </c>
      <c r="Z8" s="54" t="s">
        <v>114</v>
      </c>
      <c r="AA8" s="45" t="s">
        <v>443</v>
      </c>
      <c r="AB8" s="30">
        <v>0</v>
      </c>
      <c r="AC8" s="30">
        <v>1</v>
      </c>
      <c r="AD8" s="30">
        <v>2</v>
      </c>
    </row>
    <row r="9" spans="1:30" ht="15.75" customHeight="1">
      <c r="A9" s="54" t="s">
        <v>105</v>
      </c>
      <c r="B9" s="2" t="s">
        <v>100</v>
      </c>
      <c r="C9" s="2" t="s">
        <v>101</v>
      </c>
      <c r="D9" s="2" t="str">
        <f t="shared" si="0"/>
        <v>Prosocial scale</v>
      </c>
      <c r="E9" s="2">
        <f t="shared" si="1"/>
        <v>0</v>
      </c>
      <c r="F9" s="2">
        <f t="shared" si="2"/>
        <v>1</v>
      </c>
      <c r="G9" s="2">
        <f t="shared" si="3"/>
        <v>2</v>
      </c>
      <c r="H9" s="2">
        <f>IF(OR(B9="Not True", B9="SomeWhat True", B9="Certainly True"),
    INDEX(E9:G9, MATCH(B9, {"Not True","SomeWhat True","Certainly True"}, 0)),
    "")</f>
        <v>1</v>
      </c>
      <c r="I9">
        <f t="shared" si="4"/>
        <v>2</v>
      </c>
      <c r="Z9" s="54" t="s">
        <v>117</v>
      </c>
      <c r="AA9" s="45" t="s">
        <v>443</v>
      </c>
      <c r="AB9" s="30">
        <v>0</v>
      </c>
      <c r="AC9" s="30">
        <v>1</v>
      </c>
      <c r="AD9" s="30">
        <v>2</v>
      </c>
    </row>
    <row r="10" spans="1:30" ht="15" customHeight="1">
      <c r="A10" s="54" t="s">
        <v>106</v>
      </c>
      <c r="B10" s="2" t="s">
        <v>100</v>
      </c>
      <c r="C10" s="2" t="s">
        <v>101</v>
      </c>
      <c r="D10" s="2" t="str">
        <f t="shared" si="0"/>
        <v>Conduct problems Scale</v>
      </c>
      <c r="E10" s="2">
        <f t="shared" si="1"/>
        <v>0</v>
      </c>
      <c r="F10" s="2">
        <f t="shared" si="2"/>
        <v>1</v>
      </c>
      <c r="G10" s="2">
        <f t="shared" si="3"/>
        <v>2</v>
      </c>
      <c r="H10" s="2">
        <f>IF(OR(B10="Not True", B10="SomeWhat True", B10="Certainly True"),
    INDEX(E10:G10, MATCH(B10, {"Not True","SomeWhat True","Certainly True"}, 0)),
    "")</f>
        <v>1</v>
      </c>
      <c r="I10">
        <f t="shared" si="4"/>
        <v>2</v>
      </c>
      <c r="Z10" s="30" t="s">
        <v>125</v>
      </c>
      <c r="AA10" s="45" t="s">
        <v>443</v>
      </c>
      <c r="AB10" s="30">
        <v>0</v>
      </c>
      <c r="AC10" s="30">
        <v>1</v>
      </c>
      <c r="AD10" s="30">
        <v>2</v>
      </c>
    </row>
    <row r="11" spans="1:30" ht="15.75" customHeight="1">
      <c r="A11" s="54" t="s">
        <v>107</v>
      </c>
      <c r="B11" s="2" t="s">
        <v>101</v>
      </c>
      <c r="C11" s="2" t="s">
        <v>101</v>
      </c>
      <c r="D11" s="2" t="str">
        <f t="shared" si="0"/>
        <v>Peer problems scale</v>
      </c>
      <c r="E11" s="2">
        <f t="shared" si="1"/>
        <v>0</v>
      </c>
      <c r="F11" s="2">
        <f t="shared" si="2"/>
        <v>1</v>
      </c>
      <c r="G11" s="2">
        <f t="shared" si="3"/>
        <v>2</v>
      </c>
      <c r="H11" s="2">
        <f>IF(OR(B11="Not True", B11="SomeWhat True", B11="Certainly True"),
    INDEX(E11:G11, MATCH(B11, {"Not True","SomeWhat True","Certainly True"}, 0)),
    "")</f>
        <v>2</v>
      </c>
      <c r="I11">
        <f t="shared" si="4"/>
        <v>2</v>
      </c>
      <c r="Z11" s="45" t="s">
        <v>445</v>
      </c>
      <c r="AA11" s="45" t="s">
        <v>445</v>
      </c>
      <c r="AB11" s="30"/>
      <c r="AC11" s="30"/>
      <c r="AD11" s="30"/>
    </row>
    <row r="12" spans="1:30" ht="15.75" customHeight="1">
      <c r="A12" s="54" t="s">
        <v>108</v>
      </c>
      <c r="B12" s="2" t="s">
        <v>101</v>
      </c>
      <c r="C12" s="2" t="s">
        <v>101</v>
      </c>
      <c r="D12" s="2" t="str">
        <f t="shared" si="0"/>
        <v>Conduct problems Scale</v>
      </c>
      <c r="E12" s="2">
        <f t="shared" si="1"/>
        <v>2</v>
      </c>
      <c r="F12" s="2">
        <f t="shared" si="2"/>
        <v>1</v>
      </c>
      <c r="G12" s="2">
        <f t="shared" si="3"/>
        <v>0</v>
      </c>
      <c r="H12" s="2">
        <f>IF(OR(B12="Not True", B12="SomeWhat True", B12="Certainly True"),
    INDEX(E12:G12, MATCH(B12, {"Not True","SomeWhat True","Certainly True"}, 0)),
    "")</f>
        <v>0</v>
      </c>
      <c r="I12">
        <f t="shared" si="4"/>
        <v>0</v>
      </c>
      <c r="Z12" s="30" t="s">
        <v>106</v>
      </c>
      <c r="AA12" s="45" t="s">
        <v>445</v>
      </c>
      <c r="AB12" s="30">
        <v>0</v>
      </c>
      <c r="AC12" s="30">
        <v>1</v>
      </c>
      <c r="AD12" s="30">
        <v>2</v>
      </c>
    </row>
    <row r="13" spans="1:30" ht="15" customHeight="1">
      <c r="A13" s="54" t="s">
        <v>109</v>
      </c>
      <c r="B13" s="2" t="s">
        <v>101</v>
      </c>
      <c r="C13" s="2" t="s">
        <v>101</v>
      </c>
      <c r="D13" s="2" t="str">
        <f t="shared" si="0"/>
        <v>Emotional problems scale</v>
      </c>
      <c r="E13" s="2">
        <f t="shared" si="1"/>
        <v>0</v>
      </c>
      <c r="F13" s="2">
        <f t="shared" si="2"/>
        <v>1</v>
      </c>
      <c r="G13" s="2">
        <f t="shared" si="3"/>
        <v>2</v>
      </c>
      <c r="H13" s="2">
        <f>IF(OR(B13="Not True", B13="SomeWhat True", B13="Certainly True"),
    INDEX(E13:G13, MATCH(B13, {"Not True","SomeWhat True","Certainly True"}, 0)),
    "")</f>
        <v>2</v>
      </c>
      <c r="I13">
        <f t="shared" si="4"/>
        <v>2</v>
      </c>
      <c r="Z13" s="54" t="s">
        <v>108</v>
      </c>
      <c r="AA13" s="45" t="s">
        <v>445</v>
      </c>
      <c r="AB13" s="30">
        <v>2</v>
      </c>
      <c r="AC13" s="30">
        <v>1</v>
      </c>
      <c r="AD13" s="30">
        <v>0</v>
      </c>
    </row>
    <row r="14" spans="1:30" ht="15.75" customHeight="1">
      <c r="A14" s="54" t="s">
        <v>110</v>
      </c>
      <c r="B14" s="2" t="s">
        <v>100</v>
      </c>
      <c r="C14" s="2" t="s">
        <v>101</v>
      </c>
      <c r="D14" s="2" t="str">
        <f t="shared" si="0"/>
        <v>Prosocial scale</v>
      </c>
      <c r="E14" s="2">
        <f t="shared" si="1"/>
        <v>0</v>
      </c>
      <c r="F14" s="2">
        <f t="shared" si="2"/>
        <v>1</v>
      </c>
      <c r="G14" s="2">
        <f t="shared" si="3"/>
        <v>2</v>
      </c>
      <c r="H14" s="2">
        <f>IF(OR(B14="Not True", B14="SomeWhat True", B14="Certainly True"),
    INDEX(E14:G14, MATCH(B14, {"Not True","SomeWhat True","Certainly True"}, 0)),
    "")</f>
        <v>1</v>
      </c>
      <c r="I14">
        <f t="shared" si="4"/>
        <v>2</v>
      </c>
      <c r="Z14" s="54" t="s">
        <v>113</v>
      </c>
      <c r="AA14" s="45" t="s">
        <v>445</v>
      </c>
      <c r="AB14" s="30">
        <v>0</v>
      </c>
      <c r="AC14" s="30">
        <v>1</v>
      </c>
      <c r="AD14" s="30">
        <v>2</v>
      </c>
    </row>
    <row r="15" spans="1:30" ht="15.75" customHeight="1">
      <c r="A15" s="54" t="s">
        <v>111</v>
      </c>
      <c r="B15" s="2" t="s">
        <v>99</v>
      </c>
      <c r="C15" s="2" t="s">
        <v>101</v>
      </c>
      <c r="D15" s="2" t="str">
        <f t="shared" si="0"/>
        <v>Hyperactivity scale</v>
      </c>
      <c r="E15" s="2">
        <f t="shared" si="1"/>
        <v>0</v>
      </c>
      <c r="F15" s="2">
        <f t="shared" si="2"/>
        <v>1</v>
      </c>
      <c r="G15" s="2">
        <f t="shared" si="3"/>
        <v>2</v>
      </c>
      <c r="H15" s="2">
        <f>IF(OR(B15="Not True", B15="SomeWhat True", B15="Certainly True"),
    INDEX(E15:G15, MATCH(B15, {"Not True","SomeWhat True","Certainly True"}, 0)),
    "")</f>
        <v>0</v>
      </c>
      <c r="I15">
        <f t="shared" si="4"/>
        <v>2</v>
      </c>
      <c r="Z15" s="54" t="s">
        <v>119</v>
      </c>
      <c r="AA15" s="45" t="s">
        <v>445</v>
      </c>
      <c r="AB15" s="30">
        <v>0</v>
      </c>
      <c r="AC15" s="30">
        <v>1</v>
      </c>
      <c r="AD15" s="30">
        <v>2</v>
      </c>
    </row>
    <row r="16" spans="1:30">
      <c r="A16" s="54" t="s">
        <v>112</v>
      </c>
      <c r="B16" s="2" t="s">
        <v>99</v>
      </c>
      <c r="C16" s="2" t="s">
        <v>101</v>
      </c>
      <c r="D16" s="2" t="str">
        <f t="shared" si="0"/>
        <v>Peer problems scale</v>
      </c>
      <c r="E16" s="2">
        <f t="shared" si="1"/>
        <v>2</v>
      </c>
      <c r="F16" s="2">
        <f t="shared" si="2"/>
        <v>1</v>
      </c>
      <c r="G16" s="2">
        <f t="shared" si="3"/>
        <v>0</v>
      </c>
      <c r="H16" s="2">
        <f>IF(OR(B16="Not True", B16="SomeWhat True", B16="Certainly True"),
    INDEX(E16:G16, MATCH(B16, {"Not True","SomeWhat True","Certainly True"}, 0)),
    "")</f>
        <v>2</v>
      </c>
      <c r="I16">
        <f t="shared" si="4"/>
        <v>0</v>
      </c>
      <c r="Z16" s="54" t="s">
        <v>123</v>
      </c>
      <c r="AA16" s="45" t="s">
        <v>445</v>
      </c>
      <c r="AB16" s="30">
        <v>0</v>
      </c>
      <c r="AC16" s="30">
        <v>1</v>
      </c>
      <c r="AD16" s="30">
        <v>2</v>
      </c>
    </row>
    <row r="17" spans="1:30" ht="15.75" customHeight="1">
      <c r="A17" s="54" t="s">
        <v>113</v>
      </c>
      <c r="B17" s="2" t="s">
        <v>99</v>
      </c>
      <c r="C17" s="2" t="s">
        <v>101</v>
      </c>
      <c r="D17" s="2" t="str">
        <f t="shared" si="0"/>
        <v>Conduct problems Scale</v>
      </c>
      <c r="E17" s="2">
        <f t="shared" si="1"/>
        <v>0</v>
      </c>
      <c r="F17" s="2">
        <f t="shared" si="2"/>
        <v>1</v>
      </c>
      <c r="G17" s="2">
        <f t="shared" si="3"/>
        <v>2</v>
      </c>
      <c r="H17" s="2">
        <f>IF(OR(B17="Not True", B17="SomeWhat True", B17="Certainly True"),
    INDEX(E17:G17, MATCH(B17, {"Not True","SomeWhat True","Certainly True"}, 0)),
    "")</f>
        <v>0</v>
      </c>
      <c r="I17">
        <f t="shared" si="4"/>
        <v>2</v>
      </c>
      <c r="Z17" s="45" t="s">
        <v>446</v>
      </c>
      <c r="AA17" s="45" t="s">
        <v>446</v>
      </c>
      <c r="AB17" s="30"/>
      <c r="AC17" s="30"/>
      <c r="AD17" s="30"/>
    </row>
    <row r="18" spans="1:30" ht="15.75" customHeight="1">
      <c r="A18" s="54" t="s">
        <v>114</v>
      </c>
      <c r="B18" s="2" t="s">
        <v>100</v>
      </c>
      <c r="C18" s="2" t="s">
        <v>101</v>
      </c>
      <c r="D18" s="2" t="str">
        <f t="shared" si="0"/>
        <v>Emotional problems scale</v>
      </c>
      <c r="E18" s="2">
        <f t="shared" si="1"/>
        <v>0</v>
      </c>
      <c r="F18" s="2">
        <f t="shared" si="2"/>
        <v>1</v>
      </c>
      <c r="G18" s="2">
        <f t="shared" si="3"/>
        <v>2</v>
      </c>
      <c r="H18" s="2">
        <f>IF(OR(B18="Not True", B18="SomeWhat True", B18="Certainly True"),
    INDEX(E18:G18, MATCH(B18, {"Not True","SomeWhat True","Certainly True"}, 0)),
    "")</f>
        <v>1</v>
      </c>
      <c r="I18">
        <f t="shared" si="4"/>
        <v>2</v>
      </c>
      <c r="L18" s="55" t="s">
        <v>431</v>
      </c>
      <c r="M18" t="s">
        <v>447</v>
      </c>
      <c r="N18" t="s">
        <v>448</v>
      </c>
      <c r="O18" s="61" t="s">
        <v>449</v>
      </c>
      <c r="Z18" s="54" t="s">
        <v>103</v>
      </c>
      <c r="AA18" s="45" t="s">
        <v>446</v>
      </c>
      <c r="AB18" s="30">
        <v>0</v>
      </c>
      <c r="AC18" s="30">
        <v>1</v>
      </c>
      <c r="AD18" s="30">
        <v>2</v>
      </c>
    </row>
    <row r="19" spans="1:30" ht="15" customHeight="1">
      <c r="A19" s="54" t="s">
        <v>115</v>
      </c>
      <c r="B19" s="2" t="s">
        <v>100</v>
      </c>
      <c r="C19" s="2" t="s">
        <v>101</v>
      </c>
      <c r="D19" s="2" t="str">
        <f t="shared" si="0"/>
        <v>Peer problems scale</v>
      </c>
      <c r="E19" s="2">
        <f t="shared" si="1"/>
        <v>2</v>
      </c>
      <c r="F19" s="2">
        <f t="shared" si="2"/>
        <v>1</v>
      </c>
      <c r="G19" s="2">
        <f t="shared" si="3"/>
        <v>0</v>
      </c>
      <c r="H19" s="2">
        <f>IF(OR(B19="Not True", B19="SomeWhat True", B19="Certainly True"),
    INDEX(E19:G19, MATCH(B19, {"Not True","SomeWhat True","Certainly True"}, 0)),
    "")</f>
        <v>1</v>
      </c>
      <c r="I19">
        <f t="shared" si="4"/>
        <v>0</v>
      </c>
      <c r="L19" s="48" t="s">
        <v>445</v>
      </c>
      <c r="M19" s="2">
        <v>8</v>
      </c>
      <c r="N19" s="2">
        <v>3</v>
      </c>
      <c r="O19" s="2">
        <f>SUM(M19:N19)/2</f>
        <v>5.5</v>
      </c>
      <c r="Z19" s="30" t="s">
        <v>111</v>
      </c>
      <c r="AA19" s="45" t="s">
        <v>446</v>
      </c>
      <c r="AB19" s="30">
        <v>0</v>
      </c>
      <c r="AC19" s="30">
        <v>1</v>
      </c>
      <c r="AD19" s="30">
        <v>2</v>
      </c>
    </row>
    <row r="20" spans="1:30" ht="15.75" customHeight="1">
      <c r="A20" s="54" t="s">
        <v>116</v>
      </c>
      <c r="B20" s="2" t="s">
        <v>101</v>
      </c>
      <c r="C20" s="2" t="s">
        <v>101</v>
      </c>
      <c r="D20" s="2" t="str">
        <f t="shared" si="0"/>
        <v>Hyperactivity scale</v>
      </c>
      <c r="E20" s="2">
        <f t="shared" si="1"/>
        <v>0</v>
      </c>
      <c r="F20" s="2">
        <f t="shared" si="2"/>
        <v>1</v>
      </c>
      <c r="G20" s="2">
        <f t="shared" si="3"/>
        <v>2</v>
      </c>
      <c r="H20" s="2">
        <f>IF(OR(B20="Not True", B20="SomeWhat True", B20="Certainly True"),
    INDEX(E20:G20, MATCH(B20, {"Not True","SomeWhat True","Certainly True"}, 0)),
    "")</f>
        <v>2</v>
      </c>
      <c r="I20">
        <f t="shared" si="4"/>
        <v>2</v>
      </c>
      <c r="L20" s="48" t="s">
        <v>443</v>
      </c>
      <c r="M20" s="2">
        <v>10</v>
      </c>
      <c r="N20" s="2">
        <v>5</v>
      </c>
      <c r="O20" s="2">
        <f t="shared" ref="O20:O24" si="5">SUM(M20:N20)/2</f>
        <v>7.5</v>
      </c>
      <c r="Z20" s="30" t="s">
        <v>116</v>
      </c>
      <c r="AA20" s="45" t="s">
        <v>446</v>
      </c>
      <c r="AB20" s="30">
        <v>0</v>
      </c>
      <c r="AC20" s="30">
        <v>1</v>
      </c>
      <c r="AD20" s="30">
        <v>2</v>
      </c>
    </row>
    <row r="21" spans="1:30">
      <c r="A21" s="54" t="s">
        <v>117</v>
      </c>
      <c r="B21" s="2" t="s">
        <v>101</v>
      </c>
      <c r="C21" s="2" t="s">
        <v>101</v>
      </c>
      <c r="D21" s="2" t="str">
        <f t="shared" si="0"/>
        <v>Emotional problems scale</v>
      </c>
      <c r="E21" s="2">
        <f t="shared" si="1"/>
        <v>0</v>
      </c>
      <c r="F21" s="2">
        <f t="shared" si="2"/>
        <v>1</v>
      </c>
      <c r="G21" s="2">
        <f t="shared" si="3"/>
        <v>2</v>
      </c>
      <c r="H21" s="2">
        <f>IF(OR(B21="Not True", B21="SomeWhat True", B21="Certainly True"),
    INDEX(E21:G21, MATCH(B21, {"Not True","SomeWhat True","Certainly True"}, 0)),
    "")</f>
        <v>2</v>
      </c>
      <c r="I21">
        <f t="shared" si="4"/>
        <v>2</v>
      </c>
      <c r="L21" s="48" t="s">
        <v>446</v>
      </c>
      <c r="M21" s="2">
        <v>6</v>
      </c>
      <c r="N21" s="2">
        <v>3</v>
      </c>
      <c r="O21" s="2">
        <f t="shared" si="5"/>
        <v>4.5</v>
      </c>
      <c r="Z21" s="54" t="s">
        <v>122</v>
      </c>
      <c r="AA21" s="45" t="s">
        <v>446</v>
      </c>
      <c r="AB21" s="30">
        <v>2</v>
      </c>
      <c r="AC21" s="30">
        <v>1</v>
      </c>
      <c r="AD21" s="30">
        <v>0</v>
      </c>
    </row>
    <row r="22" spans="1:30" ht="15" customHeight="1">
      <c r="A22" s="54" t="s">
        <v>118</v>
      </c>
      <c r="B22" s="2" t="s">
        <v>99</v>
      </c>
      <c r="C22" s="2" t="s">
        <v>101</v>
      </c>
      <c r="D22" s="2" t="str">
        <f t="shared" si="0"/>
        <v>Prosocial scale</v>
      </c>
      <c r="E22" s="2">
        <f t="shared" si="1"/>
        <v>0</v>
      </c>
      <c r="F22" s="2">
        <f t="shared" si="2"/>
        <v>1</v>
      </c>
      <c r="G22" s="2">
        <f t="shared" si="3"/>
        <v>2</v>
      </c>
      <c r="H22" s="2">
        <f>IF(OR(B22="Not True", B22="SomeWhat True", B22="Certainly True"),
    INDEX(E22:G22, MATCH(B22, {"Not True","SomeWhat True","Certainly True"}, 0)),
    "")</f>
        <v>0</v>
      </c>
      <c r="I22">
        <f t="shared" si="4"/>
        <v>2</v>
      </c>
      <c r="L22" s="48" t="s">
        <v>450</v>
      </c>
      <c r="M22" s="2">
        <v>6</v>
      </c>
      <c r="N22" s="2">
        <v>6</v>
      </c>
      <c r="O22" s="2">
        <f t="shared" si="5"/>
        <v>6</v>
      </c>
      <c r="Z22" s="54" t="s">
        <v>126</v>
      </c>
      <c r="AA22" s="45" t="s">
        <v>446</v>
      </c>
      <c r="AB22" s="30">
        <v>2</v>
      </c>
      <c r="AC22" s="30">
        <v>1</v>
      </c>
      <c r="AD22" s="30">
        <v>0</v>
      </c>
    </row>
    <row r="23" spans="1:30" ht="15.75" customHeight="1">
      <c r="A23" s="54" t="s">
        <v>119</v>
      </c>
      <c r="B23" s="2" t="s">
        <v>99</v>
      </c>
      <c r="C23" s="2" t="s">
        <v>101</v>
      </c>
      <c r="D23" s="2" t="str">
        <f t="shared" si="0"/>
        <v>Conduct problems Scale</v>
      </c>
      <c r="E23" s="2">
        <f t="shared" si="1"/>
        <v>0</v>
      </c>
      <c r="F23" s="2">
        <f t="shared" si="2"/>
        <v>1</v>
      </c>
      <c r="G23" s="2">
        <f t="shared" si="3"/>
        <v>2</v>
      </c>
      <c r="H23" s="2">
        <f>IF(OR(B23="Not True", B23="SomeWhat True", B23="Certainly True"),
    INDEX(E23:G23, MATCH(B23, {"Not True","SomeWhat True","Certainly True"}, 0)),
    "")</f>
        <v>0</v>
      </c>
      <c r="I23">
        <f t="shared" si="4"/>
        <v>2</v>
      </c>
      <c r="L23" s="48" t="s">
        <v>451</v>
      </c>
      <c r="M23" s="2">
        <v>10</v>
      </c>
      <c r="N23" s="2">
        <v>3</v>
      </c>
      <c r="O23" s="2">
        <f t="shared" si="5"/>
        <v>6.5</v>
      </c>
      <c r="Z23" s="45" t="s">
        <v>450</v>
      </c>
      <c r="AA23" s="45" t="s">
        <v>450</v>
      </c>
      <c r="AB23" s="30"/>
      <c r="AC23" s="30"/>
      <c r="AD23" s="30"/>
    </row>
    <row r="24" spans="1:30" ht="15.75" customHeight="1">
      <c r="A24" s="54" t="s">
        <v>120</v>
      </c>
      <c r="B24" s="2" t="s">
        <v>100</v>
      </c>
      <c r="C24" s="2" t="s">
        <v>101</v>
      </c>
      <c r="D24" s="2" t="str">
        <f t="shared" si="0"/>
        <v>Peer problems scale</v>
      </c>
      <c r="E24" s="2">
        <f t="shared" si="1"/>
        <v>0</v>
      </c>
      <c r="F24" s="2">
        <f t="shared" si="2"/>
        <v>1</v>
      </c>
      <c r="G24" s="2">
        <f t="shared" si="3"/>
        <v>2</v>
      </c>
      <c r="H24" s="2">
        <f>IF(OR(B24="Not True", B24="SomeWhat True", B24="Certainly True"),
    INDEX(E24:G24, MATCH(B24, {"Not True","SomeWhat True","Certainly True"}, 0)),
    "")</f>
        <v>1</v>
      </c>
      <c r="I24">
        <f t="shared" si="4"/>
        <v>2</v>
      </c>
      <c r="L24" s="64" t="s">
        <v>452</v>
      </c>
      <c r="M24" s="188">
        <v>40</v>
      </c>
      <c r="N24" s="188">
        <v>20</v>
      </c>
      <c r="O24" s="62">
        <f t="shared" si="5"/>
        <v>30</v>
      </c>
      <c r="Z24" s="30" t="s">
        <v>107</v>
      </c>
      <c r="AA24" s="45" t="s">
        <v>450</v>
      </c>
      <c r="AB24" s="30">
        <v>0</v>
      </c>
      <c r="AC24" s="30">
        <v>1</v>
      </c>
      <c r="AD24" s="30">
        <v>2</v>
      </c>
    </row>
    <row r="25" spans="1:30" ht="15" customHeight="1">
      <c r="A25" s="54" t="s">
        <v>121</v>
      </c>
      <c r="B25" s="2" t="s">
        <v>100</v>
      </c>
      <c r="C25" s="2" t="s">
        <v>101</v>
      </c>
      <c r="D25" s="2" t="str">
        <f t="shared" si="0"/>
        <v>Prosocial scale</v>
      </c>
      <c r="E25" s="2">
        <f t="shared" si="1"/>
        <v>0</v>
      </c>
      <c r="F25" s="2">
        <f t="shared" si="2"/>
        <v>1</v>
      </c>
      <c r="G25" s="2">
        <f t="shared" si="3"/>
        <v>2</v>
      </c>
      <c r="H25" s="2">
        <f>IF(OR(B25="Not True", B25="SomeWhat True", B25="Certainly True"),
    INDEX(E25:G25, MATCH(B25, {"Not True","SomeWhat True","Certainly True"}, 0)),
    "")</f>
        <v>1</v>
      </c>
      <c r="I25">
        <f t="shared" si="4"/>
        <v>2</v>
      </c>
      <c r="Z25" s="30" t="s">
        <v>112</v>
      </c>
      <c r="AA25" s="45" t="s">
        <v>450</v>
      </c>
      <c r="AB25" s="30">
        <v>2</v>
      </c>
      <c r="AC25" s="30">
        <v>1</v>
      </c>
      <c r="AD25" s="30">
        <v>0</v>
      </c>
    </row>
    <row r="26" spans="1:30" ht="15.75" customHeight="1">
      <c r="A26" s="54" t="s">
        <v>122</v>
      </c>
      <c r="B26" s="2" t="s">
        <v>101</v>
      </c>
      <c r="C26" s="2" t="s">
        <v>101</v>
      </c>
      <c r="D26" s="2" t="str">
        <f t="shared" si="0"/>
        <v>Hyperactivity scale</v>
      </c>
      <c r="E26" s="2">
        <f t="shared" si="1"/>
        <v>2</v>
      </c>
      <c r="F26" s="2">
        <f t="shared" si="2"/>
        <v>1</v>
      </c>
      <c r="G26" s="2">
        <f t="shared" si="3"/>
        <v>0</v>
      </c>
      <c r="H26" s="2">
        <f>IF(OR(B26="Not True", B26="SomeWhat True", B26="Certainly True"),
    INDEX(E26:G26, MATCH(B26, {"Not True","SomeWhat True","Certainly True"}, 0)),
    "")</f>
        <v>0</v>
      </c>
      <c r="I26">
        <f t="shared" si="4"/>
        <v>0</v>
      </c>
      <c r="Z26" s="30" t="s">
        <v>115</v>
      </c>
      <c r="AA26" s="45" t="s">
        <v>450</v>
      </c>
      <c r="AB26" s="30">
        <v>2</v>
      </c>
      <c r="AC26" s="30">
        <v>1</v>
      </c>
      <c r="AD26" s="30">
        <v>0</v>
      </c>
    </row>
    <row r="27" spans="1:30" ht="15.75" customHeight="1">
      <c r="A27" s="54" t="s">
        <v>123</v>
      </c>
      <c r="B27" s="2" t="s">
        <v>101</v>
      </c>
      <c r="C27" s="2" t="s">
        <v>101</v>
      </c>
      <c r="D27" s="2" t="str">
        <f t="shared" si="0"/>
        <v>Conduct problems Scale</v>
      </c>
      <c r="E27" s="2">
        <f t="shared" si="1"/>
        <v>0</v>
      </c>
      <c r="F27" s="2">
        <f t="shared" si="2"/>
        <v>1</v>
      </c>
      <c r="G27" s="2">
        <f t="shared" si="3"/>
        <v>2</v>
      </c>
      <c r="H27" s="2">
        <f>IF(OR(B27="Not True", B27="SomeWhat True", B27="Certainly True"),
    INDEX(E27:G27, MATCH(B27, {"Not True","SomeWhat True","Certainly True"}, 0)),
    "")</f>
        <v>2</v>
      </c>
      <c r="I27">
        <f t="shared" si="4"/>
        <v>2</v>
      </c>
      <c r="Z27" s="54" t="s">
        <v>120</v>
      </c>
      <c r="AA27" s="45" t="s">
        <v>450</v>
      </c>
      <c r="AB27" s="30">
        <v>0</v>
      </c>
      <c r="AC27" s="30">
        <v>1</v>
      </c>
      <c r="AD27" s="30">
        <v>2</v>
      </c>
    </row>
    <row r="28" spans="1:30" ht="15" customHeight="1">
      <c r="A28" s="54" t="s">
        <v>124</v>
      </c>
      <c r="B28" s="2" t="s">
        <v>99</v>
      </c>
      <c r="C28" s="2" t="s">
        <v>101</v>
      </c>
      <c r="D28" s="2" t="str">
        <f t="shared" si="0"/>
        <v>Peer problems scale</v>
      </c>
      <c r="E28" s="2">
        <f t="shared" si="1"/>
        <v>0</v>
      </c>
      <c r="F28" s="2">
        <f t="shared" si="2"/>
        <v>1</v>
      </c>
      <c r="G28" s="2">
        <f t="shared" si="3"/>
        <v>2</v>
      </c>
      <c r="H28" s="2">
        <f>IF(OR(B28="Not True", B28="SomeWhat True", B28="Certainly True"),
    INDEX(E28:G28, MATCH(B28, {"Not True","SomeWhat True","Certainly True"}, 0)),
    "")</f>
        <v>0</v>
      </c>
      <c r="I28">
        <f t="shared" si="4"/>
        <v>2</v>
      </c>
      <c r="Z28" s="30" t="s">
        <v>124</v>
      </c>
      <c r="AA28" s="45" t="s">
        <v>450</v>
      </c>
      <c r="AB28" s="30">
        <v>0</v>
      </c>
      <c r="AC28" s="30">
        <v>1</v>
      </c>
      <c r="AD28" s="30">
        <v>2</v>
      </c>
    </row>
    <row r="29" spans="1:30" ht="15.75" customHeight="1">
      <c r="A29" s="54" t="s">
        <v>125</v>
      </c>
      <c r="B29" s="2" t="s">
        <v>99</v>
      </c>
      <c r="C29" s="2" t="s">
        <v>101</v>
      </c>
      <c r="D29" s="2" t="str">
        <f t="shared" si="0"/>
        <v>Emotional problems scale</v>
      </c>
      <c r="E29" s="2">
        <f t="shared" si="1"/>
        <v>0</v>
      </c>
      <c r="F29" s="2">
        <f t="shared" si="2"/>
        <v>1</v>
      </c>
      <c r="G29" s="2">
        <f t="shared" si="3"/>
        <v>2</v>
      </c>
      <c r="H29" s="2">
        <f>IF(OR(B29="Not True", B29="SomeWhat True", B29="Certainly True"),
    INDEX(E29:G29, MATCH(B29, {"Not True","SomeWhat True","Certainly True"}, 0)),
    "")</f>
        <v>0</v>
      </c>
      <c r="I29">
        <f t="shared" si="4"/>
        <v>2</v>
      </c>
      <c r="Z29" s="45" t="s">
        <v>451</v>
      </c>
      <c r="AA29" s="45" t="s">
        <v>451</v>
      </c>
      <c r="AB29" s="30"/>
      <c r="AC29" s="30"/>
      <c r="AD29" s="30"/>
    </row>
    <row r="30" spans="1:30" ht="15.75" customHeight="1">
      <c r="A30" s="54" t="s">
        <v>126</v>
      </c>
      <c r="B30" s="2" t="s">
        <v>100</v>
      </c>
      <c r="C30" s="2" t="s">
        <v>101</v>
      </c>
      <c r="D30" s="2" t="str">
        <f t="shared" si="0"/>
        <v>Hyperactivity scale</v>
      </c>
      <c r="E30" s="2">
        <f t="shared" si="1"/>
        <v>2</v>
      </c>
      <c r="F30" s="2">
        <f t="shared" si="2"/>
        <v>1</v>
      </c>
      <c r="G30" s="2">
        <f t="shared" si="3"/>
        <v>0</v>
      </c>
      <c r="H30" s="2">
        <f>IF(OR(B30="Not True", B30="SomeWhat True", B30="Certainly True"),
    INDEX(E30:G30, MATCH(B30, {"Not True","SomeWhat True","Certainly True"}, 0)),
    "")</f>
        <v>1</v>
      </c>
      <c r="I30">
        <f t="shared" si="4"/>
        <v>0</v>
      </c>
      <c r="Z30" s="30" t="s">
        <v>102</v>
      </c>
      <c r="AA30" s="45" t="s">
        <v>451</v>
      </c>
      <c r="AB30" s="30">
        <v>0</v>
      </c>
      <c r="AC30" s="30">
        <v>1</v>
      </c>
      <c r="AD30" s="30">
        <v>2</v>
      </c>
    </row>
    <row r="31" spans="1:30" ht="45" customHeight="1">
      <c r="A31" s="53" t="s">
        <v>127</v>
      </c>
      <c r="B31" s="2" t="s">
        <v>453</v>
      </c>
      <c r="C31" s="2"/>
      <c r="D31" s="2" t="e">
        <f t="shared" si="0"/>
        <v>#N/A</v>
      </c>
      <c r="E31" s="2" t="e">
        <f t="shared" si="1"/>
        <v>#N/A</v>
      </c>
      <c r="F31" s="2" t="e">
        <f t="shared" si="2"/>
        <v>#N/A</v>
      </c>
      <c r="G31" s="2" t="e">
        <f t="shared" si="3"/>
        <v>#N/A</v>
      </c>
      <c r="H31" s="2" t="str">
        <f t="shared" ref="H31" si="6">IF(B31="SomeWhat True",F31,IF(B31="Certainly True",G31,IF(B31="Not True",E31,"N/A")))</f>
        <v>N/A</v>
      </c>
      <c r="I31" t="str">
        <f t="shared" si="4"/>
        <v>N/A</v>
      </c>
      <c r="Z31" s="30" t="s">
        <v>105</v>
      </c>
      <c r="AA31" s="45" t="s">
        <v>451</v>
      </c>
      <c r="AB31" s="30">
        <v>0</v>
      </c>
      <c r="AC31" s="30">
        <v>1</v>
      </c>
      <c r="AD31" s="30">
        <v>2</v>
      </c>
    </row>
    <row r="32" spans="1:30" ht="15.75" customHeight="1" thickBot="1">
      <c r="A32" s="52"/>
      <c r="B32" s="29"/>
      <c r="C32" s="29"/>
      <c r="Z32" s="30" t="s">
        <v>110</v>
      </c>
      <c r="AA32" s="45" t="s">
        <v>451</v>
      </c>
      <c r="AB32" s="30">
        <v>0</v>
      </c>
      <c r="AC32" s="30">
        <v>1</v>
      </c>
      <c r="AD32" s="30">
        <v>2</v>
      </c>
    </row>
    <row r="33" spans="1:30" ht="15.75" customHeight="1" thickTop="1">
      <c r="A33" s="50"/>
      <c r="B33" s="29"/>
      <c r="C33" s="29"/>
      <c r="Z33" s="30" t="s">
        <v>118</v>
      </c>
      <c r="AA33" s="45" t="s">
        <v>451</v>
      </c>
      <c r="AB33" s="30">
        <v>0</v>
      </c>
      <c r="AC33" s="30">
        <v>1</v>
      </c>
      <c r="AD33" s="30">
        <v>2</v>
      </c>
    </row>
    <row r="34" spans="1:30" ht="15" customHeight="1">
      <c r="A34" s="51"/>
      <c r="B34" s="29"/>
      <c r="C34" s="29"/>
      <c r="Z34" s="54" t="s">
        <v>121</v>
      </c>
      <c r="AA34" s="45" t="s">
        <v>451</v>
      </c>
      <c r="AB34" s="30">
        <v>0</v>
      </c>
      <c r="AC34" s="30">
        <v>1</v>
      </c>
      <c r="AD34" s="30">
        <v>2</v>
      </c>
    </row>
  </sheetData>
  <mergeCells count="1">
    <mergeCell ref="A4:H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99602-B7BC-4602-AD77-E9D2746E1761}">
  <dimension ref="A1:AB34"/>
  <sheetViews>
    <sheetView topLeftCell="AOX1" workbookViewId="0">
      <selection activeCell="O16" sqref="O16"/>
    </sheetView>
  </sheetViews>
  <sheetFormatPr defaultRowHeight="15"/>
  <cols>
    <col min="1" max="1" width="72.7109375" customWidth="1"/>
    <col min="2" max="3" width="26.28515625" style="56" customWidth="1"/>
    <col min="4" max="4" width="29.42578125" customWidth="1"/>
    <col min="5" max="5" width="25.28515625" customWidth="1"/>
    <col min="6" max="6" width="22.85546875" customWidth="1"/>
    <col min="7" max="7" width="27" customWidth="1"/>
    <col min="8" max="8" width="30.7109375" customWidth="1"/>
    <col min="9" max="9" width="18.7109375" customWidth="1"/>
    <col min="11" max="11" width="24.140625" bestFit="1" customWidth="1"/>
    <col min="12" max="12" width="18.140625" bestFit="1" customWidth="1"/>
    <col min="14" max="14" width="23.28515625" bestFit="1" customWidth="1"/>
    <col min="15" max="15" width="25.85546875" bestFit="1" customWidth="1"/>
    <col min="16" max="16" width="25" bestFit="1" customWidth="1"/>
    <col min="24" max="24" width="64" customWidth="1"/>
    <col min="25" max="25" width="41.28515625" customWidth="1"/>
    <col min="26" max="26" width="12.85546875" customWidth="1"/>
    <col min="27" max="27" width="18.85546875" customWidth="1"/>
    <col min="28" max="28" width="23.5703125" customWidth="1"/>
  </cols>
  <sheetData>
    <row r="1" spans="1:28" ht="15.75" customHeight="1"/>
    <row r="2" spans="1:28" ht="15.75" customHeight="1">
      <c r="A2" s="275" t="s">
        <v>454</v>
      </c>
      <c r="B2" s="244"/>
      <c r="C2" s="244"/>
      <c r="D2" s="244"/>
      <c r="E2" s="244"/>
      <c r="F2" s="244"/>
      <c r="G2" s="244"/>
      <c r="H2" s="244"/>
      <c r="I2" s="59"/>
    </row>
    <row r="3" spans="1:28" ht="15.75" customHeight="1">
      <c r="A3" s="39" t="s">
        <v>81</v>
      </c>
      <c r="B3" s="58" t="s">
        <v>455</v>
      </c>
      <c r="C3" s="58" t="s">
        <v>456</v>
      </c>
      <c r="D3" s="39" t="s">
        <v>363</v>
      </c>
      <c r="E3" s="39" t="s">
        <v>99</v>
      </c>
      <c r="F3" s="39" t="s">
        <v>438</v>
      </c>
      <c r="G3" s="39" t="s">
        <v>101</v>
      </c>
      <c r="H3" s="39" t="s">
        <v>441</v>
      </c>
      <c r="I3" s="39" t="s">
        <v>442</v>
      </c>
    </row>
    <row r="4" spans="1:28" ht="15.75" customHeight="1">
      <c r="A4" s="54" t="s">
        <v>102</v>
      </c>
      <c r="B4" s="48" t="s">
        <v>99</v>
      </c>
      <c r="C4" s="2" t="s">
        <v>101</v>
      </c>
      <c r="D4" s="2" t="str">
        <f t="shared" ref="D4:D29" si="0">VLOOKUP(A4,QuestionariesStrength4,2,)</f>
        <v>Prosocial scale</v>
      </c>
      <c r="E4" s="2">
        <f t="shared" ref="E4:E29" si="1">VLOOKUP(A4,StrengthNT4,3,)</f>
        <v>0</v>
      </c>
      <c r="F4" s="2">
        <f t="shared" ref="F4:F29" si="2">VLOOKUP(A4,StrengthSWT4,4,)</f>
        <v>1</v>
      </c>
      <c r="G4" s="2">
        <f t="shared" ref="G4:G29" si="3">VLOOKUP(A4,StrengthCT4,5,)</f>
        <v>2</v>
      </c>
      <c r="H4" s="2">
        <f>IF(OR(B4="Not True", B4="SomeWhat True", B4="Certainly True"),
    INDEX(E4:G4, MATCH(B7, {"Not True","SomeWhat True","Certainly True"}, 0)),
    "")</f>
        <v>0</v>
      </c>
      <c r="I4">
        <f>IF(C4="SomeWhat True",F4,IF(C4="Certainly True",G4,IF(C4="Not True",E4,"N/A")))</f>
        <v>2</v>
      </c>
      <c r="X4" s="57" t="s">
        <v>81</v>
      </c>
      <c r="Y4" s="49"/>
      <c r="Z4" s="49" t="s">
        <v>99</v>
      </c>
      <c r="AA4" s="49" t="s">
        <v>438</v>
      </c>
      <c r="AB4" s="49" t="s">
        <v>101</v>
      </c>
    </row>
    <row r="5" spans="1:28" ht="15.75" customHeight="1">
      <c r="A5" s="54" t="s">
        <v>103</v>
      </c>
      <c r="B5" s="48" t="s">
        <v>99</v>
      </c>
      <c r="C5" s="2" t="s">
        <v>101</v>
      </c>
      <c r="D5" s="2" t="str">
        <f t="shared" si="0"/>
        <v>Hyperactivity scale</v>
      </c>
      <c r="E5" s="2">
        <f t="shared" si="1"/>
        <v>0</v>
      </c>
      <c r="F5" s="2">
        <f t="shared" si="2"/>
        <v>1</v>
      </c>
      <c r="G5" s="2">
        <f t="shared" si="3"/>
        <v>2</v>
      </c>
      <c r="H5" s="2">
        <f>IF(OR(B5="Not True", B5="SomeWhat True", B5="Certainly True"),
    INDEX(E5:G5, MATCH(B5, {"Not True","SomeWhat True","Certainly True"}, 0)),
    "")</f>
        <v>0</v>
      </c>
      <c r="I5">
        <f t="shared" ref="I5:I29" si="4">IF(C5="SomeWhat True",F5,IF(C5="Certainly True",G5,IF(C5="Not True",E5,"N/A")))</f>
        <v>2</v>
      </c>
      <c r="X5" s="39" t="s">
        <v>443</v>
      </c>
      <c r="Y5" s="39" t="s">
        <v>443</v>
      </c>
      <c r="Z5" s="30"/>
      <c r="AA5" s="30"/>
      <c r="AB5" s="30"/>
    </row>
    <row r="6" spans="1:28" ht="15.75" customHeight="1">
      <c r="A6" s="54" t="s">
        <v>104</v>
      </c>
      <c r="B6" s="48" t="s">
        <v>99</v>
      </c>
      <c r="C6" s="2" t="s">
        <v>101</v>
      </c>
      <c r="D6" s="2" t="str">
        <f t="shared" si="0"/>
        <v>Emotional problems scale</v>
      </c>
      <c r="E6" s="2">
        <f t="shared" si="1"/>
        <v>0</v>
      </c>
      <c r="F6" s="2">
        <f t="shared" si="2"/>
        <v>1</v>
      </c>
      <c r="G6" s="2">
        <f t="shared" si="3"/>
        <v>2</v>
      </c>
      <c r="H6" s="2">
        <f>IF(OR(B6="Not True", B6="SomeWhat True", B6="Certainly True"),
    INDEX(E6:G6, MATCH(B6, {"Not True","SomeWhat True","Certainly True"}, 0)),
    "")</f>
        <v>0</v>
      </c>
      <c r="I6">
        <f t="shared" si="4"/>
        <v>2</v>
      </c>
      <c r="X6" s="54" t="s">
        <v>104</v>
      </c>
      <c r="Y6" s="45" t="s">
        <v>443</v>
      </c>
      <c r="Z6" s="30">
        <v>0</v>
      </c>
      <c r="AA6" s="30">
        <v>1</v>
      </c>
      <c r="AB6" s="30">
        <v>2</v>
      </c>
    </row>
    <row r="7" spans="1:28" ht="15.75" customHeight="1">
      <c r="A7" s="54" t="s">
        <v>105</v>
      </c>
      <c r="B7" s="48" t="s">
        <v>99</v>
      </c>
      <c r="C7" s="2" t="s">
        <v>101</v>
      </c>
      <c r="D7" s="2" t="str">
        <f t="shared" si="0"/>
        <v>Prosocial scale</v>
      </c>
      <c r="E7" s="2">
        <f t="shared" si="1"/>
        <v>0</v>
      </c>
      <c r="F7" s="2">
        <f t="shared" si="2"/>
        <v>1</v>
      </c>
      <c r="G7" s="2">
        <f t="shared" si="3"/>
        <v>2</v>
      </c>
      <c r="H7" s="2">
        <f>IF(OR(B7="Not True", B7="SomeWhat True", B7="Certainly True"),
    INDEX(E7:G7, MATCH(B10, {"Not True","SomeWhat True","Certainly True"}, 0)),
    "")</f>
        <v>0</v>
      </c>
      <c r="I7">
        <f t="shared" si="4"/>
        <v>2</v>
      </c>
      <c r="X7" s="54" t="s">
        <v>109</v>
      </c>
      <c r="Y7" s="45" t="s">
        <v>443</v>
      </c>
      <c r="Z7" s="30">
        <v>0</v>
      </c>
      <c r="AA7" s="30">
        <v>1</v>
      </c>
      <c r="AB7" s="30">
        <v>2</v>
      </c>
    </row>
    <row r="8" spans="1:28" ht="15.75" customHeight="1">
      <c r="A8" s="54" t="s">
        <v>106</v>
      </c>
      <c r="B8" s="48" t="s">
        <v>99</v>
      </c>
      <c r="C8" s="2" t="s">
        <v>101</v>
      </c>
      <c r="D8" s="2" t="str">
        <f t="shared" si="0"/>
        <v>Conduct problems Scale</v>
      </c>
      <c r="E8" s="2">
        <f t="shared" si="1"/>
        <v>0</v>
      </c>
      <c r="F8" s="2">
        <f t="shared" si="2"/>
        <v>1</v>
      </c>
      <c r="G8" s="2">
        <f t="shared" si="3"/>
        <v>2</v>
      </c>
      <c r="H8" s="2">
        <f>IF(OR(B8="Not True", B8="SomeWhat True", B8="Certainly True"),
    INDEX(E8:G8, MATCH(B11, {"Not True","SomeWhat True","Certainly True"}, 0)),
    "")</f>
        <v>0</v>
      </c>
      <c r="I8">
        <f t="shared" si="4"/>
        <v>2</v>
      </c>
      <c r="X8" s="54" t="s">
        <v>114</v>
      </c>
      <c r="Y8" s="45" t="s">
        <v>443</v>
      </c>
      <c r="Z8" s="30">
        <v>0</v>
      </c>
      <c r="AA8" s="30">
        <v>1</v>
      </c>
      <c r="AB8" s="30">
        <v>2</v>
      </c>
    </row>
    <row r="9" spans="1:28" ht="15.75" customHeight="1">
      <c r="A9" s="54" t="s">
        <v>107</v>
      </c>
      <c r="B9" s="48" t="s">
        <v>99</v>
      </c>
      <c r="C9" s="2" t="s">
        <v>101</v>
      </c>
      <c r="D9" s="2" t="str">
        <f t="shared" si="0"/>
        <v>Peer problems scale</v>
      </c>
      <c r="E9" s="2">
        <f t="shared" si="1"/>
        <v>0</v>
      </c>
      <c r="F9" s="2">
        <f t="shared" si="2"/>
        <v>1</v>
      </c>
      <c r="G9" s="2">
        <f t="shared" si="3"/>
        <v>2</v>
      </c>
      <c r="H9" s="2">
        <f>IF(OR(B9="Not True", B9="SomeWhat True", B9="Certainly True"),
    INDEX(E9:G9, MATCH(B9, {"Not True","SomeWhat True","Certainly True"}, 0)),
    "")</f>
        <v>0</v>
      </c>
      <c r="I9">
        <f t="shared" si="4"/>
        <v>2</v>
      </c>
      <c r="X9" s="54" t="s">
        <v>117</v>
      </c>
      <c r="Y9" s="45" t="s">
        <v>443</v>
      </c>
      <c r="Z9" s="30">
        <v>0</v>
      </c>
      <c r="AA9" s="30">
        <v>1</v>
      </c>
      <c r="AB9" s="30">
        <v>2</v>
      </c>
    </row>
    <row r="10" spans="1:28" ht="15.75" customHeight="1">
      <c r="A10" s="54" t="s">
        <v>108</v>
      </c>
      <c r="B10" s="48" t="s">
        <v>99</v>
      </c>
      <c r="C10" s="2" t="s">
        <v>101</v>
      </c>
      <c r="D10" s="2" t="str">
        <f t="shared" si="0"/>
        <v>Conduct problems Scale</v>
      </c>
      <c r="E10" s="2">
        <f t="shared" si="1"/>
        <v>2</v>
      </c>
      <c r="F10" s="2">
        <f t="shared" si="2"/>
        <v>1</v>
      </c>
      <c r="G10" s="2">
        <f t="shared" si="3"/>
        <v>0</v>
      </c>
      <c r="H10" s="2">
        <f>IF(OR(B10="Not True", B10="SomeWhat True", B10="Certainly True"),
    INDEX(E10:G10, MATCH(B10, {"Not True","SomeWhat True","Certainly True"}, 0)),
    "")</f>
        <v>2</v>
      </c>
      <c r="I10">
        <f t="shared" si="4"/>
        <v>0</v>
      </c>
      <c r="X10" s="2" t="s">
        <v>125</v>
      </c>
      <c r="Y10" s="45" t="s">
        <v>443</v>
      </c>
      <c r="Z10" s="30">
        <v>0</v>
      </c>
      <c r="AA10" s="30">
        <v>1</v>
      </c>
      <c r="AB10" s="30">
        <v>2</v>
      </c>
    </row>
    <row r="11" spans="1:28" ht="15.75" customHeight="1">
      <c r="A11" s="54" t="s">
        <v>109</v>
      </c>
      <c r="B11" s="48" t="s">
        <v>99</v>
      </c>
      <c r="C11" s="2" t="s">
        <v>101</v>
      </c>
      <c r="D11" s="2" t="str">
        <f t="shared" si="0"/>
        <v>Emotional problems scale</v>
      </c>
      <c r="E11" s="2">
        <f t="shared" si="1"/>
        <v>0</v>
      </c>
      <c r="F11" s="2">
        <f t="shared" si="2"/>
        <v>1</v>
      </c>
      <c r="G11" s="2">
        <f t="shared" si="3"/>
        <v>2</v>
      </c>
      <c r="H11" s="2">
        <f>IF(OR(B11="Not True", B11="SomeWhat True", B11="Certainly True"),
    INDEX(E11:G11, MATCH(B11, {"Not True","SomeWhat True","Certainly True"}, 0)),
    "")</f>
        <v>0</v>
      </c>
      <c r="I11">
        <f t="shared" si="4"/>
        <v>2</v>
      </c>
      <c r="X11" s="39" t="s">
        <v>445</v>
      </c>
      <c r="Y11" s="39" t="s">
        <v>445</v>
      </c>
      <c r="Z11" s="30"/>
      <c r="AA11" s="30"/>
      <c r="AB11" s="30"/>
    </row>
    <row r="12" spans="1:28" ht="15.75" customHeight="1">
      <c r="A12" s="54" t="s">
        <v>110</v>
      </c>
      <c r="B12" s="48" t="s">
        <v>99</v>
      </c>
      <c r="C12" s="2" t="s">
        <v>101</v>
      </c>
      <c r="D12" s="2" t="str">
        <f t="shared" si="0"/>
        <v>Prosocial scale</v>
      </c>
      <c r="E12" s="2">
        <f t="shared" si="1"/>
        <v>0</v>
      </c>
      <c r="F12" s="2">
        <f t="shared" si="2"/>
        <v>1</v>
      </c>
      <c r="G12" s="2">
        <f t="shared" si="3"/>
        <v>2</v>
      </c>
      <c r="H12" s="2">
        <f>IF(OR(B12="Not True", B12="SomeWhat True", B12="Certainly True"),
    INDEX(E12:G12, MATCH(B12, {"Not True","SomeWhat True","Certainly True"}, 0)),
    "")</f>
        <v>0</v>
      </c>
      <c r="I12">
        <f t="shared" si="4"/>
        <v>2</v>
      </c>
      <c r="X12" s="2" t="s">
        <v>106</v>
      </c>
      <c r="Y12" s="45" t="s">
        <v>445</v>
      </c>
      <c r="Z12" s="30">
        <v>0</v>
      </c>
      <c r="AA12" s="30">
        <v>1</v>
      </c>
      <c r="AB12" s="30">
        <v>2</v>
      </c>
    </row>
    <row r="13" spans="1:28" ht="15.75" customHeight="1">
      <c r="A13" s="54" t="s">
        <v>111</v>
      </c>
      <c r="B13" s="48" t="s">
        <v>438</v>
      </c>
      <c r="C13" s="2" t="s">
        <v>101</v>
      </c>
      <c r="D13" s="2" t="str">
        <f t="shared" si="0"/>
        <v>Hyperactivity scale</v>
      </c>
      <c r="E13" s="2">
        <f t="shared" si="1"/>
        <v>0</v>
      </c>
      <c r="F13" s="2">
        <f t="shared" si="2"/>
        <v>1</v>
      </c>
      <c r="G13" s="2">
        <f t="shared" si="3"/>
        <v>2</v>
      </c>
      <c r="H13" s="2">
        <f>IF(OR(B13="Not True", B13="SomeWhat True", B13="Certainly True"),
    INDEX(E13:G13, MATCH(B13, {"Not True","SomeWhat True","Certainly True"}, 0)),
    "")</f>
        <v>1</v>
      </c>
      <c r="I13">
        <f t="shared" si="4"/>
        <v>2</v>
      </c>
      <c r="X13" s="54" t="s">
        <v>108</v>
      </c>
      <c r="Y13" s="45" t="s">
        <v>445</v>
      </c>
      <c r="Z13" s="30">
        <v>2</v>
      </c>
      <c r="AA13" s="30">
        <v>1</v>
      </c>
      <c r="AB13" s="30">
        <v>0</v>
      </c>
    </row>
    <row r="14" spans="1:28" ht="15.75" customHeight="1">
      <c r="A14" s="54" t="s">
        <v>112</v>
      </c>
      <c r="B14" s="48" t="s">
        <v>438</v>
      </c>
      <c r="C14" s="2" t="s">
        <v>101</v>
      </c>
      <c r="D14" s="2" t="str">
        <f t="shared" si="0"/>
        <v>Peer problems scale</v>
      </c>
      <c r="E14" s="2">
        <f t="shared" si="1"/>
        <v>2</v>
      </c>
      <c r="F14" s="2">
        <f t="shared" si="2"/>
        <v>1</v>
      </c>
      <c r="G14" s="2">
        <f t="shared" si="3"/>
        <v>0</v>
      </c>
      <c r="H14" s="2">
        <f>IF(OR(B14="Not True", B14="SomeWhat True", B14="Certainly True"),
    INDEX(E14:G14, MATCH(B14, {"Not True","SomeWhat True","Certainly True"}, 0)),
    "")</f>
        <v>1</v>
      </c>
      <c r="I14">
        <f t="shared" si="4"/>
        <v>0</v>
      </c>
      <c r="X14" s="54" t="s">
        <v>113</v>
      </c>
      <c r="Y14" s="45" t="s">
        <v>445</v>
      </c>
      <c r="Z14" s="30">
        <v>0</v>
      </c>
      <c r="AA14" s="30">
        <v>1</v>
      </c>
      <c r="AB14" s="30">
        <v>2</v>
      </c>
    </row>
    <row r="15" spans="1:28" ht="15.75" customHeight="1">
      <c r="A15" s="54" t="s">
        <v>113</v>
      </c>
      <c r="B15" s="48" t="s">
        <v>438</v>
      </c>
      <c r="C15" s="2" t="s">
        <v>101</v>
      </c>
      <c r="D15" s="2" t="str">
        <f t="shared" si="0"/>
        <v>Conduct problems Scale</v>
      </c>
      <c r="E15" s="2">
        <f t="shared" si="1"/>
        <v>0</v>
      </c>
      <c r="F15" s="2">
        <f t="shared" si="2"/>
        <v>1</v>
      </c>
      <c r="G15" s="2">
        <f t="shared" si="3"/>
        <v>2</v>
      </c>
      <c r="H15" s="2">
        <f>IF(OR(B15="Not True", B15="SomeWhat True", B15="Certainly True"),
    INDEX(E15:G15, MATCH(B15, {"Not True","SomeWhat True","Certainly True"}, 0)),
    "")</f>
        <v>1</v>
      </c>
      <c r="I15">
        <f t="shared" si="4"/>
        <v>2</v>
      </c>
      <c r="X15" s="54" t="s">
        <v>457</v>
      </c>
      <c r="Y15" s="45" t="s">
        <v>445</v>
      </c>
      <c r="Z15" s="30">
        <v>0</v>
      </c>
      <c r="AA15" s="30">
        <v>1</v>
      </c>
      <c r="AB15" s="30">
        <v>2</v>
      </c>
    </row>
    <row r="16" spans="1:28" ht="15.75" customHeight="1">
      <c r="A16" s="54" t="s">
        <v>114</v>
      </c>
      <c r="B16" s="48" t="s">
        <v>438</v>
      </c>
      <c r="C16" s="2" t="s">
        <v>101</v>
      </c>
      <c r="D16" s="2" t="str">
        <f t="shared" si="0"/>
        <v>Emotional problems scale</v>
      </c>
      <c r="E16" s="2">
        <f t="shared" si="1"/>
        <v>0</v>
      </c>
      <c r="F16" s="2">
        <f t="shared" si="2"/>
        <v>1</v>
      </c>
      <c r="G16" s="2">
        <f t="shared" si="3"/>
        <v>2</v>
      </c>
      <c r="H16" s="2">
        <f>IF(OR(B16="Not True", B16="SomeWhat True", B16="Certainly True"),
    INDEX(E16:G16, MATCH(B16, {"Not True","SomeWhat True","Certainly True"}, 0)),
    "")</f>
        <v>1</v>
      </c>
      <c r="I16">
        <f t="shared" si="4"/>
        <v>2</v>
      </c>
      <c r="N16" s="55" t="s">
        <v>431</v>
      </c>
      <c r="O16" t="s">
        <v>448</v>
      </c>
      <c r="P16" t="s">
        <v>447</v>
      </c>
      <c r="Q16" t="s">
        <v>458</v>
      </c>
      <c r="X16" s="54" t="s">
        <v>459</v>
      </c>
      <c r="Y16" s="45" t="s">
        <v>445</v>
      </c>
      <c r="Z16" s="30">
        <v>0</v>
      </c>
      <c r="AA16" s="30">
        <v>1</v>
      </c>
      <c r="AB16" s="30">
        <v>2</v>
      </c>
    </row>
    <row r="17" spans="1:28" ht="15.75" customHeight="1">
      <c r="A17" s="54" t="s">
        <v>115</v>
      </c>
      <c r="B17" s="48" t="s">
        <v>438</v>
      </c>
      <c r="C17" s="2" t="s">
        <v>101</v>
      </c>
      <c r="D17" s="2" t="str">
        <f t="shared" si="0"/>
        <v>Peer problems scale</v>
      </c>
      <c r="E17" s="2">
        <f t="shared" si="1"/>
        <v>2</v>
      </c>
      <c r="F17" s="2">
        <f t="shared" si="2"/>
        <v>1</v>
      </c>
      <c r="G17" s="2">
        <f t="shared" si="3"/>
        <v>0</v>
      </c>
      <c r="H17" s="2">
        <f>IF(OR(B17="Not True", B17="SomeWhat True", B17="Certainly True"),
    INDEX(E17:G17, MATCH(B20, {"Not True","SomeWhat True","Certainly True"}, 0)),
    "")</f>
        <v>1</v>
      </c>
      <c r="I17">
        <f t="shared" si="4"/>
        <v>0</v>
      </c>
      <c r="N17" s="56" t="s">
        <v>445</v>
      </c>
      <c r="O17">
        <v>6</v>
      </c>
      <c r="P17">
        <v>8</v>
      </c>
      <c r="Q17">
        <f>SUM(O17:P17)/2</f>
        <v>7</v>
      </c>
      <c r="X17" s="39" t="s">
        <v>446</v>
      </c>
      <c r="Y17" s="39" t="s">
        <v>446</v>
      </c>
      <c r="Z17" s="30"/>
      <c r="AA17" s="30"/>
      <c r="AB17" s="30"/>
    </row>
    <row r="18" spans="1:28" ht="15.75" customHeight="1">
      <c r="A18" s="54" t="s">
        <v>116</v>
      </c>
      <c r="B18" s="48" t="s">
        <v>438</v>
      </c>
      <c r="C18" s="2" t="s">
        <v>101</v>
      </c>
      <c r="D18" s="2" t="str">
        <f t="shared" si="0"/>
        <v>Hyperactivity scale</v>
      </c>
      <c r="E18" s="2">
        <f t="shared" si="1"/>
        <v>0</v>
      </c>
      <c r="F18" s="2">
        <f t="shared" si="2"/>
        <v>1</v>
      </c>
      <c r="G18" s="2">
        <f t="shared" si="3"/>
        <v>2</v>
      </c>
      <c r="H18" s="2">
        <f>IF(OR(B18="Not True", B18="SomeWhat True", B18="Certainly True"),
    INDEX(E18:G18, MATCH(B21, {"Not True","SomeWhat True","Certainly True"}, 0)),
    "")</f>
        <v>1</v>
      </c>
      <c r="I18">
        <f t="shared" si="4"/>
        <v>2</v>
      </c>
      <c r="N18" s="56" t="s">
        <v>443</v>
      </c>
      <c r="O18">
        <v>4</v>
      </c>
      <c r="P18">
        <v>10</v>
      </c>
      <c r="Q18">
        <f t="shared" ref="Q18:Q22" si="5">SUM(O18:P18)/2</f>
        <v>7</v>
      </c>
      <c r="X18" s="54" t="s">
        <v>103</v>
      </c>
      <c r="Y18" s="45" t="s">
        <v>446</v>
      </c>
      <c r="Z18" s="30">
        <v>0</v>
      </c>
      <c r="AA18" s="30">
        <v>1</v>
      </c>
      <c r="AB18" s="30">
        <v>2</v>
      </c>
    </row>
    <row r="19" spans="1:28" ht="15.75" customHeight="1">
      <c r="A19" s="54" t="s">
        <v>117</v>
      </c>
      <c r="B19" s="48" t="s">
        <v>438</v>
      </c>
      <c r="C19" s="2" t="s">
        <v>101</v>
      </c>
      <c r="D19" s="2" t="str">
        <f t="shared" si="0"/>
        <v>Emotional problems scale</v>
      </c>
      <c r="E19" s="2">
        <f t="shared" si="1"/>
        <v>0</v>
      </c>
      <c r="F19" s="2">
        <f t="shared" si="2"/>
        <v>1</v>
      </c>
      <c r="G19" s="2">
        <f t="shared" si="3"/>
        <v>2</v>
      </c>
      <c r="H19" s="2">
        <f>IF(OR(B19="Not True", B19="SomeWhat True", B19="Certainly True"),
    INDEX(E19:G19, MATCH(B22, {"Not True","SomeWhat True","Certainly True"}, 0)),
    "")</f>
        <v>1</v>
      </c>
      <c r="I19">
        <f t="shared" si="4"/>
        <v>2</v>
      </c>
      <c r="N19" s="56" t="s">
        <v>446</v>
      </c>
      <c r="O19">
        <v>3</v>
      </c>
      <c r="P19">
        <v>6</v>
      </c>
      <c r="Q19">
        <f t="shared" si="5"/>
        <v>4.5</v>
      </c>
      <c r="X19" s="2" t="s">
        <v>111</v>
      </c>
      <c r="Y19" s="45" t="s">
        <v>446</v>
      </c>
      <c r="Z19" s="30">
        <v>0</v>
      </c>
      <c r="AA19" s="30">
        <v>1</v>
      </c>
      <c r="AB19" s="30">
        <v>2</v>
      </c>
    </row>
    <row r="20" spans="1:28" ht="15.75" customHeight="1">
      <c r="A20" s="54" t="s">
        <v>118</v>
      </c>
      <c r="B20" s="48" t="s">
        <v>438</v>
      </c>
      <c r="C20" s="2" t="s">
        <v>101</v>
      </c>
      <c r="D20" s="2" t="str">
        <f t="shared" si="0"/>
        <v>Prosocial scale</v>
      </c>
      <c r="E20" s="2">
        <f t="shared" si="1"/>
        <v>0</v>
      </c>
      <c r="F20" s="2">
        <f t="shared" si="2"/>
        <v>1</v>
      </c>
      <c r="G20" s="2">
        <f t="shared" si="3"/>
        <v>2</v>
      </c>
      <c r="H20" s="2">
        <f>IF(OR(B20="Not True", B20="SomeWhat True", B20="Certainly True"),
    INDEX(E20:G20, MATCH(B23, {"Not True","SomeWhat True","Certainly True"}, 0)),
    "")</f>
        <v>1</v>
      </c>
      <c r="I20">
        <f t="shared" si="4"/>
        <v>2</v>
      </c>
      <c r="N20" s="56" t="s">
        <v>450</v>
      </c>
      <c r="O20">
        <v>5</v>
      </c>
      <c r="P20">
        <v>6</v>
      </c>
      <c r="Q20">
        <f t="shared" si="5"/>
        <v>5.5</v>
      </c>
      <c r="X20" s="2" t="s">
        <v>116</v>
      </c>
      <c r="Y20" s="45" t="s">
        <v>446</v>
      </c>
      <c r="Z20" s="30">
        <v>0</v>
      </c>
      <c r="AA20" s="30">
        <v>1</v>
      </c>
      <c r="AB20" s="30">
        <v>2</v>
      </c>
    </row>
    <row r="21" spans="1:28" ht="15.75" customHeight="1">
      <c r="A21" s="54" t="s">
        <v>457</v>
      </c>
      <c r="B21" s="48" t="s">
        <v>438</v>
      </c>
      <c r="C21" s="2" t="s">
        <v>101</v>
      </c>
      <c r="D21" s="2" t="str">
        <f t="shared" si="0"/>
        <v>Conduct problems Scale</v>
      </c>
      <c r="E21" s="2">
        <f t="shared" si="1"/>
        <v>0</v>
      </c>
      <c r="F21" s="2">
        <f t="shared" si="2"/>
        <v>1</v>
      </c>
      <c r="G21" s="2">
        <f t="shared" si="3"/>
        <v>2</v>
      </c>
      <c r="H21" s="2">
        <f>IF(OR(B21="Not True", B21="SomeWhat True", B21="Certainly True"),
    INDEX(E21:G21, MATCH(B21, {"Not True","SomeWhat True","Certainly True"}, 0)),
    "")</f>
        <v>1</v>
      </c>
      <c r="I21">
        <f t="shared" si="4"/>
        <v>2</v>
      </c>
      <c r="N21" s="56" t="s">
        <v>451</v>
      </c>
      <c r="O21">
        <v>2</v>
      </c>
      <c r="P21">
        <v>10</v>
      </c>
      <c r="Q21">
        <f t="shared" si="5"/>
        <v>6</v>
      </c>
      <c r="X21" s="54" t="s">
        <v>122</v>
      </c>
      <c r="Y21" s="45" t="s">
        <v>446</v>
      </c>
      <c r="Z21" s="30">
        <v>2</v>
      </c>
      <c r="AA21" s="30">
        <v>1</v>
      </c>
      <c r="AB21" s="30">
        <v>0</v>
      </c>
    </row>
    <row r="22" spans="1:28">
      <c r="A22" s="54" t="s">
        <v>120</v>
      </c>
      <c r="B22" s="48" t="s">
        <v>438</v>
      </c>
      <c r="C22" s="2" t="s">
        <v>101</v>
      </c>
      <c r="D22" s="2" t="str">
        <f t="shared" si="0"/>
        <v>Peer problems scale</v>
      </c>
      <c r="E22" s="2">
        <f t="shared" si="1"/>
        <v>0</v>
      </c>
      <c r="F22" s="2">
        <f t="shared" si="2"/>
        <v>1</v>
      </c>
      <c r="G22" s="2">
        <f t="shared" si="3"/>
        <v>2</v>
      </c>
      <c r="H22" s="2">
        <f>IF(OR(B22="Not True", B22="SomeWhat True", B22="Certainly True"),
    INDEX(E22:G22, MATCH(B22, {"Not True","SomeWhat True","Certainly True"}, 0)),
    "")</f>
        <v>1</v>
      </c>
      <c r="I22">
        <f t="shared" si="4"/>
        <v>2</v>
      </c>
      <c r="N22" s="56" t="s">
        <v>347</v>
      </c>
      <c r="O22">
        <v>20</v>
      </c>
      <c r="P22">
        <v>40</v>
      </c>
      <c r="Q22">
        <f t="shared" si="5"/>
        <v>30</v>
      </c>
      <c r="X22" s="54" t="s">
        <v>126</v>
      </c>
      <c r="Y22" s="45" t="s">
        <v>446</v>
      </c>
      <c r="Z22" s="30">
        <v>2</v>
      </c>
      <c r="AA22" s="30">
        <v>1</v>
      </c>
      <c r="AB22" s="30">
        <v>0</v>
      </c>
    </row>
    <row r="23" spans="1:28">
      <c r="A23" s="54" t="s">
        <v>121</v>
      </c>
      <c r="B23" s="48" t="s">
        <v>438</v>
      </c>
      <c r="C23" s="2" t="s">
        <v>101</v>
      </c>
      <c r="D23" s="2" t="str">
        <f t="shared" si="0"/>
        <v>Prosocial scale</v>
      </c>
      <c r="E23" s="2">
        <f t="shared" si="1"/>
        <v>0</v>
      </c>
      <c r="F23" s="2">
        <f t="shared" si="2"/>
        <v>1</v>
      </c>
      <c r="G23" s="2">
        <f t="shared" si="3"/>
        <v>2</v>
      </c>
      <c r="H23" s="2">
        <f>IF(OR(B23="Not True", B23="SomeWhat True", B23="Certainly True"),
    INDEX(E23:G23, MATCH(B23, {"Not True","SomeWhat True","Certainly True"}, 0)),
    "")</f>
        <v>1</v>
      </c>
      <c r="I23">
        <f t="shared" si="4"/>
        <v>2</v>
      </c>
      <c r="X23" s="39" t="s">
        <v>450</v>
      </c>
      <c r="Y23" s="45" t="s">
        <v>450</v>
      </c>
      <c r="Z23" s="30"/>
      <c r="AA23" s="30"/>
      <c r="AB23" s="30"/>
    </row>
    <row r="24" spans="1:28">
      <c r="A24" s="54" t="s">
        <v>122</v>
      </c>
      <c r="B24" s="48" t="s">
        <v>438</v>
      </c>
      <c r="C24" s="2" t="s">
        <v>101</v>
      </c>
      <c r="D24" s="2" t="str">
        <f t="shared" si="0"/>
        <v>Hyperactivity scale</v>
      </c>
      <c r="E24" s="2">
        <f t="shared" si="1"/>
        <v>2</v>
      </c>
      <c r="F24" s="2">
        <f t="shared" si="2"/>
        <v>1</v>
      </c>
      <c r="G24" s="2">
        <f t="shared" si="3"/>
        <v>0</v>
      </c>
      <c r="H24" s="2">
        <f>IF(OR(B24="Not True", B24="SomeWhat True", B24="Certainly True"),
    INDEX(E24:G24, MATCH(B24, {"Not True","SomeWhat True","Certainly True"}, 0)),
    "")</f>
        <v>1</v>
      </c>
      <c r="I24">
        <f t="shared" si="4"/>
        <v>0</v>
      </c>
      <c r="X24" s="2" t="s">
        <v>107</v>
      </c>
      <c r="Y24" s="45" t="s">
        <v>450</v>
      </c>
      <c r="Z24" s="30">
        <v>0</v>
      </c>
      <c r="AA24" s="30">
        <v>1</v>
      </c>
      <c r="AB24" s="30">
        <v>2</v>
      </c>
    </row>
    <row r="25" spans="1:28">
      <c r="A25" s="54" t="s">
        <v>459</v>
      </c>
      <c r="B25" s="2" t="s">
        <v>101</v>
      </c>
      <c r="C25" s="2" t="s">
        <v>101</v>
      </c>
      <c r="D25" s="2" t="str">
        <f t="shared" si="0"/>
        <v>Conduct problems Scale</v>
      </c>
      <c r="E25" s="2">
        <f t="shared" si="1"/>
        <v>0</v>
      </c>
      <c r="F25" s="2">
        <f t="shared" si="2"/>
        <v>1</v>
      </c>
      <c r="G25" s="2">
        <f t="shared" si="3"/>
        <v>2</v>
      </c>
      <c r="H25" s="2">
        <f>IF(OR(B25="Not True", B25="SomeWhat True", B25="Certainly True"),
    INDEX(E25:G25, MATCH(B25, {"Not True","SomeWhat True","Certainly True"}, 0)),
    "")</f>
        <v>2</v>
      </c>
      <c r="I25">
        <f t="shared" si="4"/>
        <v>2</v>
      </c>
      <c r="X25" s="2" t="s">
        <v>112</v>
      </c>
      <c r="Y25" s="45" t="s">
        <v>450</v>
      </c>
      <c r="Z25" s="30">
        <v>2</v>
      </c>
      <c r="AA25" s="30">
        <v>1</v>
      </c>
      <c r="AB25" s="30">
        <v>0</v>
      </c>
    </row>
    <row r="26" spans="1:28">
      <c r="A26" s="54" t="s">
        <v>124</v>
      </c>
      <c r="B26" s="2" t="s">
        <v>101</v>
      </c>
      <c r="C26" s="2" t="s">
        <v>101</v>
      </c>
      <c r="D26" s="2" t="str">
        <f t="shared" si="0"/>
        <v>Peer problems scale</v>
      </c>
      <c r="E26" s="2">
        <f t="shared" si="1"/>
        <v>0</v>
      </c>
      <c r="F26" s="2">
        <f t="shared" si="2"/>
        <v>1</v>
      </c>
      <c r="G26" s="2">
        <f t="shared" si="3"/>
        <v>2</v>
      </c>
      <c r="H26" s="2">
        <f>IF(OR(B26="Not True", B26="SomeWhat True", B26="Certainly True"),
    INDEX(E26:G26, MATCH(B26, {"Not True","SomeWhat True","Certainly True"}, 0)),
    "")</f>
        <v>2</v>
      </c>
      <c r="I26">
        <f t="shared" si="4"/>
        <v>2</v>
      </c>
      <c r="X26" s="2" t="s">
        <v>115</v>
      </c>
      <c r="Y26" s="45" t="s">
        <v>450</v>
      </c>
      <c r="Z26" s="30">
        <v>2</v>
      </c>
      <c r="AA26" s="30">
        <v>1</v>
      </c>
      <c r="AB26" s="30">
        <v>0</v>
      </c>
    </row>
    <row r="27" spans="1:28">
      <c r="A27" s="54" t="s">
        <v>125</v>
      </c>
      <c r="B27" s="2" t="s">
        <v>101</v>
      </c>
      <c r="C27" s="2" t="s">
        <v>101</v>
      </c>
      <c r="D27" s="2" t="str">
        <f t="shared" si="0"/>
        <v>Emotional problems scale</v>
      </c>
      <c r="E27" s="2">
        <f t="shared" si="1"/>
        <v>0</v>
      </c>
      <c r="F27" s="2">
        <f t="shared" si="2"/>
        <v>1</v>
      </c>
      <c r="G27" s="2">
        <f t="shared" si="3"/>
        <v>2</v>
      </c>
      <c r="H27" s="2">
        <f>IF(OR(B27="Not True", B27="SomeWhat True", B27="Certainly True"),
    INDEX(E27:G27, MATCH(B27, {"Not True","SomeWhat True","Certainly True"}, 0)),
    "")</f>
        <v>2</v>
      </c>
      <c r="I27">
        <f t="shared" si="4"/>
        <v>2</v>
      </c>
      <c r="X27" s="54" t="s">
        <v>120</v>
      </c>
      <c r="Y27" s="45" t="s">
        <v>450</v>
      </c>
      <c r="Z27" s="30">
        <v>0</v>
      </c>
      <c r="AA27" s="30">
        <v>1</v>
      </c>
      <c r="AB27" s="30">
        <v>2</v>
      </c>
    </row>
    <row r="28" spans="1:28">
      <c r="A28" s="54" t="s">
        <v>126</v>
      </c>
      <c r="B28" s="2" t="s">
        <v>101</v>
      </c>
      <c r="C28" s="2" t="s">
        <v>101</v>
      </c>
      <c r="D28" s="2" t="str">
        <f t="shared" si="0"/>
        <v>Hyperactivity scale</v>
      </c>
      <c r="E28" s="2">
        <f t="shared" si="1"/>
        <v>2</v>
      </c>
      <c r="F28" s="2">
        <f t="shared" si="2"/>
        <v>1</v>
      </c>
      <c r="G28" s="2">
        <f t="shared" si="3"/>
        <v>0</v>
      </c>
      <c r="H28" s="2">
        <f>IF(OR(B28="Not True", B28="SomeWhat True", B28="Certainly True"),
    INDEX(E28:G28, MATCH(B28, {"Not True","SomeWhat True","Certainly True"}, 0)),
    "")</f>
        <v>0</v>
      </c>
      <c r="I28">
        <f t="shared" si="4"/>
        <v>0</v>
      </c>
      <c r="X28" s="2" t="s">
        <v>124</v>
      </c>
      <c r="Y28" s="45" t="s">
        <v>450</v>
      </c>
      <c r="Z28" s="30">
        <v>0</v>
      </c>
      <c r="AA28" s="30">
        <v>1</v>
      </c>
      <c r="AB28" s="30">
        <v>2</v>
      </c>
    </row>
    <row r="29" spans="1:28" ht="62.25" customHeight="1">
      <c r="A29" s="53" t="s">
        <v>127</v>
      </c>
      <c r="B29" s="48" t="s">
        <v>453</v>
      </c>
      <c r="C29" s="48"/>
      <c r="D29" s="2" t="e">
        <f t="shared" si="0"/>
        <v>#N/A</v>
      </c>
      <c r="E29" s="2" t="e">
        <f t="shared" si="1"/>
        <v>#N/A</v>
      </c>
      <c r="F29" s="2" t="e">
        <f t="shared" si="2"/>
        <v>#N/A</v>
      </c>
      <c r="G29" s="2" t="e">
        <f t="shared" si="3"/>
        <v>#N/A</v>
      </c>
      <c r="H29" s="2" t="str">
        <f>IF(OR(B29="Not True", B29="SomeWhat True", B29="Certainly True"),
    INDEX(E29:G29, MATCH(B29, {"Not True","SomeWhat True","Certainly True"}, 0)),
    "")</f>
        <v/>
      </c>
      <c r="I29" t="str">
        <f t="shared" si="4"/>
        <v>N/A</v>
      </c>
      <c r="X29" s="39" t="s">
        <v>451</v>
      </c>
      <c r="Y29" s="45" t="s">
        <v>451</v>
      </c>
      <c r="Z29" s="30"/>
      <c r="AA29" s="30"/>
      <c r="AB29" s="30"/>
    </row>
    <row r="30" spans="1:28">
      <c r="X30" s="2" t="s">
        <v>102</v>
      </c>
      <c r="Y30" s="45" t="s">
        <v>451</v>
      </c>
      <c r="Z30" s="30">
        <v>0</v>
      </c>
      <c r="AA30" s="30">
        <v>1</v>
      </c>
      <c r="AB30" s="30">
        <v>2</v>
      </c>
    </row>
    <row r="31" spans="1:28">
      <c r="X31" s="2" t="s">
        <v>105</v>
      </c>
      <c r="Y31" s="45" t="s">
        <v>451</v>
      </c>
      <c r="Z31" s="30">
        <v>0</v>
      </c>
      <c r="AA31" s="30">
        <v>1</v>
      </c>
      <c r="AB31" s="30">
        <v>2</v>
      </c>
    </row>
    <row r="32" spans="1:28">
      <c r="X32" s="2" t="s">
        <v>110</v>
      </c>
      <c r="Y32" s="45" t="s">
        <v>451</v>
      </c>
      <c r="Z32" s="30">
        <v>0</v>
      </c>
      <c r="AA32" s="30">
        <v>1</v>
      </c>
      <c r="AB32" s="30">
        <v>2</v>
      </c>
    </row>
    <row r="33" spans="24:28">
      <c r="X33" s="2" t="s">
        <v>118</v>
      </c>
      <c r="Y33" s="45" t="s">
        <v>451</v>
      </c>
      <c r="Z33" s="30">
        <v>0</v>
      </c>
      <c r="AA33" s="30">
        <v>1</v>
      </c>
      <c r="AB33" s="30">
        <v>2</v>
      </c>
    </row>
    <row r="34" spans="24:28">
      <c r="X34" s="54" t="s">
        <v>121</v>
      </c>
      <c r="Y34" s="45" t="s">
        <v>451</v>
      </c>
      <c r="Z34" s="30">
        <v>0</v>
      </c>
      <c r="AA34" s="30">
        <v>1</v>
      </c>
      <c r="AB34" s="30">
        <v>2</v>
      </c>
    </row>
  </sheetData>
  <mergeCells count="1">
    <mergeCell ref="A2:H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80226-FE3E-4F2E-9326-91054FC01D88}">
  <dimension ref="A1:I10"/>
  <sheetViews>
    <sheetView topLeftCell="E1" workbookViewId="0">
      <selection activeCell="I2" sqref="I2"/>
    </sheetView>
  </sheetViews>
  <sheetFormatPr defaultRowHeight="15"/>
  <cols>
    <col min="1" max="1" width="9.140625" style="43"/>
    <col min="2" max="2" width="60.85546875" style="66" customWidth="1"/>
    <col min="3" max="3" width="23" customWidth="1"/>
    <col min="4" max="4" width="20.5703125" customWidth="1"/>
    <col min="5" max="5" width="19.85546875" customWidth="1"/>
    <col min="6" max="6" width="19.140625" customWidth="1"/>
    <col min="8" max="8" width="33.28515625" customWidth="1"/>
    <col min="9" max="9" width="27.7109375" customWidth="1"/>
  </cols>
  <sheetData>
    <row r="1" spans="1:9" s="70" customFormat="1" ht="30">
      <c r="A1" s="69" t="s">
        <v>1</v>
      </c>
      <c r="B1" s="67"/>
      <c r="C1" s="71" t="s">
        <v>460</v>
      </c>
      <c r="D1" s="71" t="s">
        <v>461</v>
      </c>
      <c r="E1" s="71" t="s">
        <v>462</v>
      </c>
      <c r="F1" s="132" t="s">
        <v>463</v>
      </c>
      <c r="G1" s="130" t="s">
        <v>464</v>
      </c>
      <c r="H1" s="130" t="s">
        <v>465</v>
      </c>
      <c r="I1" s="70" t="s">
        <v>466</v>
      </c>
    </row>
    <row r="2" spans="1:9" ht="138" customHeight="1">
      <c r="A2" s="44">
        <v>1</v>
      </c>
      <c r="B2" s="68" t="s">
        <v>467</v>
      </c>
      <c r="C2" s="2"/>
      <c r="D2" s="2">
        <v>1</v>
      </c>
      <c r="E2" s="2"/>
      <c r="F2" s="91"/>
      <c r="G2" s="98">
        <f>SUM(C2:F10)</f>
        <v>16</v>
      </c>
      <c r="H2" s="131" t="str">
        <f>IF(SUM(G2)&lt;=4, "Minimal or No Depression", IF(SUM(G2)&lt;=9, "Mild Depression", IF(SUM(G2)&lt;=14, "Moderate Depression", IF(SUM(G2)&lt;=19, "Moderately Severe Depression", "Severe Depression"))))</f>
        <v>Moderately Severe Depression</v>
      </c>
      <c r="I2" s="29" t="str">
        <f>IF(G2&lt;=4,
   "Your responses suggest minimal or no signs of depression at this time. That’s great to hear. If you ever notice changes in your mood or well-being, we’re here to support you.",
IF(G2&lt;=9,
   "Your responses show some signs of low mood or mild depressive symptoms. It’s worth keeping an eye on how you’re feeling. If symptoms persist or start to impact your daily life, consider speaking with a healthcare professional for support.",
IF(G2&lt;=14,
   "Your responses suggest moderate depressive symptoms. It may be helpful to speak with a health professional or support service. Taking early steps can make a real difference to your well-being.",
IF(G2&lt;=19,
   "Your responses suggest you may be experiencing moderately severe depression. We strongly encourage you to connect with a health professional to talk through how you're feeling and access support that’s right for you.",
  IF(G2&lt;=27,"Your responses indicate significant symptoms of depression. We strongly encourage you to speak with a health professional as soon as possible. Support is available, and you're not alone."
)))))</f>
        <v>Your responses suggest you may be experiencing moderately severe depression. We strongly encourage you to connect with a health professional to talk through how you're feeling and access support that’s right for you.</v>
      </c>
    </row>
    <row r="3" spans="1:9" ht="15.75" customHeight="1">
      <c r="A3" s="44">
        <v>2</v>
      </c>
      <c r="B3" s="68" t="s">
        <v>468</v>
      </c>
      <c r="C3" s="2"/>
      <c r="D3" s="2"/>
      <c r="E3" s="2">
        <v>2</v>
      </c>
      <c r="F3" s="2"/>
    </row>
    <row r="4" spans="1:9" ht="15.75" customHeight="1">
      <c r="A4" s="44">
        <v>3</v>
      </c>
      <c r="B4" s="68" t="s">
        <v>469</v>
      </c>
      <c r="C4" s="2"/>
      <c r="D4" s="2"/>
      <c r="E4" s="2">
        <v>2</v>
      </c>
      <c r="F4" s="2"/>
    </row>
    <row r="5" spans="1:9" ht="15.75" customHeight="1">
      <c r="A5" s="44">
        <v>4</v>
      </c>
      <c r="B5" s="68" t="s">
        <v>470</v>
      </c>
      <c r="C5" s="2"/>
      <c r="D5" s="2"/>
      <c r="E5" s="2"/>
      <c r="F5" s="2">
        <v>3</v>
      </c>
    </row>
    <row r="6" spans="1:9" ht="15.75" customHeight="1">
      <c r="A6" s="44">
        <v>5</v>
      </c>
      <c r="B6" s="68" t="s">
        <v>471</v>
      </c>
      <c r="C6" s="2">
        <v>0</v>
      </c>
      <c r="D6" s="2"/>
      <c r="E6" s="2"/>
      <c r="F6" s="2"/>
    </row>
    <row r="7" spans="1:9" s="29" customFormat="1" ht="47.25" customHeight="1">
      <c r="A7" s="44">
        <v>6</v>
      </c>
      <c r="B7" s="68" t="s">
        <v>472</v>
      </c>
      <c r="C7" s="30"/>
      <c r="D7" s="30">
        <v>1</v>
      </c>
      <c r="E7" s="2"/>
      <c r="F7" s="30"/>
      <c r="G7"/>
    </row>
    <row r="8" spans="1:9" ht="50.25" customHeight="1">
      <c r="A8" s="44">
        <v>7</v>
      </c>
      <c r="B8" s="68" t="s">
        <v>473</v>
      </c>
      <c r="C8" s="2"/>
      <c r="D8" s="2"/>
      <c r="E8" s="2">
        <v>2</v>
      </c>
      <c r="F8" s="2"/>
    </row>
    <row r="9" spans="1:9" ht="39" customHeight="1">
      <c r="A9" s="44">
        <v>8</v>
      </c>
      <c r="B9" s="135" t="s">
        <v>474</v>
      </c>
      <c r="C9" s="75"/>
      <c r="D9" s="75"/>
      <c r="E9" s="75"/>
      <c r="F9" s="75">
        <v>3</v>
      </c>
    </row>
    <row r="10" spans="1:9" ht="23.25">
      <c r="A10" s="134">
        <v>9</v>
      </c>
      <c r="B10" s="133" t="s">
        <v>475</v>
      </c>
      <c r="C10" s="98"/>
      <c r="D10" s="98"/>
      <c r="E10" s="98">
        <v>2</v>
      </c>
      <c r="F10" s="98"/>
    </row>
  </sheetData>
  <dataConsolidate/>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6790A-1C0B-4D44-ABBF-ACFD7565599A}">
  <dimension ref="A1:C9"/>
  <sheetViews>
    <sheetView workbookViewId="0"/>
  </sheetViews>
  <sheetFormatPr defaultRowHeight="15"/>
  <cols>
    <col min="1" max="1" width="18.28515625" bestFit="1" customWidth="1"/>
    <col min="2" max="2" width="16.28515625" bestFit="1" customWidth="1"/>
  </cols>
  <sheetData>
    <row r="1" spans="1:3">
      <c r="A1" s="42" t="s">
        <v>476</v>
      </c>
    </row>
    <row r="3" spans="1:3">
      <c r="A3" t="s">
        <v>363</v>
      </c>
      <c r="B3" t="s">
        <v>477</v>
      </c>
      <c r="C3" t="s">
        <v>337</v>
      </c>
    </row>
    <row r="4" spans="1:3">
      <c r="A4" t="s">
        <v>478</v>
      </c>
      <c r="B4" t="s">
        <v>479</v>
      </c>
      <c r="C4">
        <v>1</v>
      </c>
    </row>
    <row r="5" spans="1:3">
      <c r="A5" t="s">
        <v>478</v>
      </c>
      <c r="B5" t="s">
        <v>479</v>
      </c>
      <c r="C5">
        <v>1</v>
      </c>
    </row>
    <row r="6" spans="1:3">
      <c r="A6" t="s">
        <v>478</v>
      </c>
      <c r="B6" t="s">
        <v>479</v>
      </c>
      <c r="C6">
        <v>1</v>
      </c>
    </row>
    <row r="7" spans="1:3">
      <c r="A7" t="s">
        <v>478</v>
      </c>
      <c r="B7" t="s">
        <v>479</v>
      </c>
      <c r="C7">
        <v>1</v>
      </c>
    </row>
    <row r="8" spans="1:3">
      <c r="A8" t="s">
        <v>478</v>
      </c>
      <c r="B8" t="s">
        <v>479</v>
      </c>
      <c r="C8">
        <v>1</v>
      </c>
    </row>
    <row r="9" spans="1:3">
      <c r="A9" t="s">
        <v>478</v>
      </c>
      <c r="B9" t="s">
        <v>479</v>
      </c>
      <c r="C9">
        <v>1</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05746-5A75-42F2-86F1-14A6E88E3C47}">
  <dimension ref="A1:C50"/>
  <sheetViews>
    <sheetView topLeftCell="A29" workbookViewId="0"/>
  </sheetViews>
  <sheetFormatPr defaultRowHeight="15"/>
  <cols>
    <col min="1" max="1" width="20.28515625" bestFit="1" customWidth="1"/>
    <col min="2" max="2" width="28.28515625" bestFit="1" customWidth="1"/>
  </cols>
  <sheetData>
    <row r="1" spans="1:3">
      <c r="A1" s="42" t="s">
        <v>480</v>
      </c>
    </row>
    <row r="3" spans="1:3">
      <c r="A3" t="s">
        <v>363</v>
      </c>
      <c r="B3" t="s">
        <v>477</v>
      </c>
      <c r="C3" t="s">
        <v>337</v>
      </c>
    </row>
    <row r="4" spans="1:3">
      <c r="A4" t="s">
        <v>481</v>
      </c>
      <c r="B4" t="s">
        <v>482</v>
      </c>
      <c r="C4">
        <v>0</v>
      </c>
    </row>
    <row r="5" spans="1:3">
      <c r="A5" t="s">
        <v>483</v>
      </c>
      <c r="B5" t="s">
        <v>484</v>
      </c>
      <c r="C5">
        <v>0</v>
      </c>
    </row>
    <row r="6" spans="1:3">
      <c r="A6" t="s">
        <v>478</v>
      </c>
      <c r="B6" t="s">
        <v>479</v>
      </c>
      <c r="C6">
        <v>1</v>
      </c>
    </row>
    <row r="7" spans="1:3">
      <c r="A7" t="s">
        <v>478</v>
      </c>
      <c r="B7" t="s">
        <v>479</v>
      </c>
      <c r="C7">
        <v>1</v>
      </c>
    </row>
    <row r="8" spans="1:3">
      <c r="A8" t="s">
        <v>481</v>
      </c>
      <c r="B8" t="s">
        <v>482</v>
      </c>
      <c r="C8">
        <v>1</v>
      </c>
    </row>
    <row r="9" spans="1:3">
      <c r="A9" t="s">
        <v>481</v>
      </c>
      <c r="B9" t="s">
        <v>482</v>
      </c>
      <c r="C9">
        <v>1</v>
      </c>
    </row>
    <row r="10" spans="1:3">
      <c r="A10" t="s">
        <v>481</v>
      </c>
      <c r="B10" t="s">
        <v>482</v>
      </c>
      <c r="C10">
        <v>1</v>
      </c>
    </row>
    <row r="11" spans="1:3">
      <c r="A11" t="s">
        <v>481</v>
      </c>
      <c r="B11" t="s">
        <v>482</v>
      </c>
      <c r="C11">
        <v>1</v>
      </c>
    </row>
    <row r="12" spans="1:3">
      <c r="A12" t="s">
        <v>485</v>
      </c>
      <c r="B12" t="s">
        <v>486</v>
      </c>
      <c r="C12">
        <v>1</v>
      </c>
    </row>
    <row r="13" spans="1:3">
      <c r="A13" t="s">
        <v>487</v>
      </c>
      <c r="B13" t="s">
        <v>488</v>
      </c>
      <c r="C13">
        <v>1</v>
      </c>
    </row>
    <row r="14" spans="1:3">
      <c r="A14" t="s">
        <v>487</v>
      </c>
      <c r="B14" t="s">
        <v>488</v>
      </c>
      <c r="C14">
        <v>1</v>
      </c>
    </row>
    <row r="15" spans="1:3">
      <c r="A15" t="s">
        <v>483</v>
      </c>
      <c r="B15" t="s">
        <v>484</v>
      </c>
      <c r="C15">
        <v>1</v>
      </c>
    </row>
    <row r="16" spans="1:3">
      <c r="A16" t="s">
        <v>483</v>
      </c>
      <c r="B16" t="s">
        <v>484</v>
      </c>
      <c r="C16">
        <v>1</v>
      </c>
    </row>
    <row r="17" spans="1:3">
      <c r="A17" t="s">
        <v>489</v>
      </c>
      <c r="B17" t="s">
        <v>490</v>
      </c>
      <c r="C17">
        <v>1</v>
      </c>
    </row>
    <row r="18" spans="1:3">
      <c r="A18" t="s">
        <v>489</v>
      </c>
      <c r="B18" t="s">
        <v>490</v>
      </c>
      <c r="C18">
        <v>1</v>
      </c>
    </row>
    <row r="19" spans="1:3">
      <c r="A19" t="s">
        <v>489</v>
      </c>
      <c r="B19" t="s">
        <v>490</v>
      </c>
      <c r="C19">
        <v>1</v>
      </c>
    </row>
    <row r="20" spans="1:3">
      <c r="A20" t="s">
        <v>489</v>
      </c>
      <c r="B20" t="s">
        <v>490</v>
      </c>
      <c r="C20">
        <v>1</v>
      </c>
    </row>
    <row r="21" spans="1:3">
      <c r="A21" t="s">
        <v>478</v>
      </c>
      <c r="B21" t="s">
        <v>479</v>
      </c>
      <c r="C21">
        <v>2</v>
      </c>
    </row>
    <row r="22" spans="1:3">
      <c r="A22" t="s">
        <v>478</v>
      </c>
      <c r="B22" t="s">
        <v>479</v>
      </c>
      <c r="C22">
        <v>2</v>
      </c>
    </row>
    <row r="23" spans="1:3">
      <c r="A23" t="s">
        <v>481</v>
      </c>
      <c r="B23" t="s">
        <v>482</v>
      </c>
      <c r="C23">
        <v>2</v>
      </c>
    </row>
    <row r="24" spans="1:3">
      <c r="A24" t="s">
        <v>481</v>
      </c>
      <c r="B24" t="s">
        <v>482</v>
      </c>
      <c r="C24">
        <v>2</v>
      </c>
    </row>
    <row r="25" spans="1:3">
      <c r="A25" t="s">
        <v>481</v>
      </c>
      <c r="B25" t="s">
        <v>482</v>
      </c>
      <c r="C25">
        <v>2</v>
      </c>
    </row>
    <row r="26" spans="1:3">
      <c r="A26" t="s">
        <v>481</v>
      </c>
      <c r="B26" t="s">
        <v>482</v>
      </c>
      <c r="C26">
        <v>2</v>
      </c>
    </row>
    <row r="27" spans="1:3">
      <c r="A27" t="s">
        <v>485</v>
      </c>
      <c r="B27" t="s">
        <v>486</v>
      </c>
      <c r="C27">
        <v>2</v>
      </c>
    </row>
    <row r="28" spans="1:3">
      <c r="A28" t="s">
        <v>485</v>
      </c>
      <c r="B28" t="s">
        <v>486</v>
      </c>
      <c r="C28">
        <v>2</v>
      </c>
    </row>
    <row r="29" spans="1:3">
      <c r="A29" t="s">
        <v>487</v>
      </c>
      <c r="B29" t="s">
        <v>488</v>
      </c>
      <c r="C29">
        <v>2</v>
      </c>
    </row>
    <row r="30" spans="1:3">
      <c r="A30" t="s">
        <v>487</v>
      </c>
      <c r="B30" t="s">
        <v>488</v>
      </c>
      <c r="C30">
        <v>2</v>
      </c>
    </row>
    <row r="31" spans="1:3">
      <c r="A31" t="s">
        <v>487</v>
      </c>
      <c r="B31" t="s">
        <v>488</v>
      </c>
      <c r="C31">
        <v>2</v>
      </c>
    </row>
    <row r="32" spans="1:3">
      <c r="A32" t="s">
        <v>483</v>
      </c>
      <c r="B32" t="s">
        <v>484</v>
      </c>
      <c r="C32">
        <v>2</v>
      </c>
    </row>
    <row r="33" spans="1:3">
      <c r="A33" t="s">
        <v>483</v>
      </c>
      <c r="B33" t="s">
        <v>484</v>
      </c>
      <c r="C33">
        <v>2</v>
      </c>
    </row>
    <row r="34" spans="1:3">
      <c r="A34" t="s">
        <v>489</v>
      </c>
      <c r="B34" t="s">
        <v>490</v>
      </c>
      <c r="C34">
        <v>2</v>
      </c>
    </row>
    <row r="35" spans="1:3">
      <c r="A35" t="s">
        <v>489</v>
      </c>
      <c r="B35" t="s">
        <v>490</v>
      </c>
      <c r="C35">
        <v>2</v>
      </c>
    </row>
    <row r="36" spans="1:3">
      <c r="A36" t="s">
        <v>478</v>
      </c>
      <c r="B36" t="s">
        <v>479</v>
      </c>
      <c r="C36">
        <v>3</v>
      </c>
    </row>
    <row r="37" spans="1:3">
      <c r="A37" t="s">
        <v>478</v>
      </c>
      <c r="B37" t="s">
        <v>479</v>
      </c>
      <c r="C37">
        <v>3</v>
      </c>
    </row>
    <row r="38" spans="1:3">
      <c r="A38" t="s">
        <v>481</v>
      </c>
      <c r="B38" t="s">
        <v>482</v>
      </c>
      <c r="C38">
        <v>3</v>
      </c>
    </row>
    <row r="39" spans="1:3">
      <c r="A39" t="s">
        <v>485</v>
      </c>
      <c r="B39" t="s">
        <v>486</v>
      </c>
      <c r="C39">
        <v>3</v>
      </c>
    </row>
    <row r="40" spans="1:3">
      <c r="A40" t="s">
        <v>485</v>
      </c>
      <c r="B40" t="s">
        <v>486</v>
      </c>
      <c r="C40">
        <v>3</v>
      </c>
    </row>
    <row r="41" spans="1:3">
      <c r="A41" t="s">
        <v>485</v>
      </c>
      <c r="B41" t="s">
        <v>486</v>
      </c>
      <c r="C41">
        <v>3</v>
      </c>
    </row>
    <row r="42" spans="1:3">
      <c r="A42" t="s">
        <v>487</v>
      </c>
      <c r="B42" t="s">
        <v>488</v>
      </c>
      <c r="C42">
        <v>3</v>
      </c>
    </row>
    <row r="43" spans="1:3">
      <c r="A43" t="s">
        <v>487</v>
      </c>
      <c r="B43" t="s">
        <v>488</v>
      </c>
      <c r="C43">
        <v>3</v>
      </c>
    </row>
    <row r="44" spans="1:3">
      <c r="A44" t="s">
        <v>487</v>
      </c>
      <c r="B44" t="s">
        <v>488</v>
      </c>
      <c r="C44">
        <v>3</v>
      </c>
    </row>
    <row r="45" spans="1:3">
      <c r="A45" t="s">
        <v>487</v>
      </c>
      <c r="B45" t="s">
        <v>488</v>
      </c>
      <c r="C45">
        <v>3</v>
      </c>
    </row>
    <row r="46" spans="1:3">
      <c r="A46" t="s">
        <v>483</v>
      </c>
      <c r="B46" t="s">
        <v>484</v>
      </c>
      <c r="C46">
        <v>3</v>
      </c>
    </row>
    <row r="47" spans="1:3">
      <c r="A47" t="s">
        <v>483</v>
      </c>
      <c r="B47" t="s">
        <v>484</v>
      </c>
      <c r="C47">
        <v>3</v>
      </c>
    </row>
    <row r="48" spans="1:3">
      <c r="A48" t="s">
        <v>489</v>
      </c>
      <c r="B48" t="s">
        <v>490</v>
      </c>
      <c r="C48">
        <v>3</v>
      </c>
    </row>
    <row r="49" spans="1:3">
      <c r="A49" t="s">
        <v>489</v>
      </c>
      <c r="B49" t="s">
        <v>490</v>
      </c>
      <c r="C49">
        <v>3</v>
      </c>
    </row>
    <row r="50" spans="1:3">
      <c r="A50" t="s">
        <v>489</v>
      </c>
      <c r="B50" t="s">
        <v>490</v>
      </c>
      <c r="C50">
        <v>3</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C3C16-99A0-434B-946A-722592FFA0C8}">
  <dimension ref="A1:AC50"/>
  <sheetViews>
    <sheetView topLeftCell="U15" workbookViewId="0">
      <selection activeCell="Y17" sqref="Y17"/>
    </sheetView>
  </sheetViews>
  <sheetFormatPr defaultRowHeight="15"/>
  <cols>
    <col min="2" max="2" width="45.140625" customWidth="1"/>
    <col min="3" max="3" width="10.5703125" customWidth="1"/>
    <col min="4" max="4" width="17.42578125" customWidth="1"/>
    <col min="5" max="5" width="12.140625" customWidth="1"/>
    <col min="6" max="6" width="19.28515625" customWidth="1"/>
    <col min="7" max="8" width="28.42578125" customWidth="1"/>
    <col min="12" max="12" width="25.140625" customWidth="1"/>
    <col min="13" max="14" width="9.140625" hidden="1" customWidth="1"/>
    <col min="15" max="15" width="40.140625" style="29" customWidth="1"/>
    <col min="16" max="16" width="27.5703125" customWidth="1"/>
    <col min="17" max="17" width="33.140625" customWidth="1"/>
    <col min="21" max="21" width="28" style="29" customWidth="1"/>
    <col min="22" max="22" width="12.85546875" bestFit="1" customWidth="1"/>
    <col min="23" max="23" width="22.85546875" customWidth="1"/>
    <col min="24" max="24" width="25.7109375" bestFit="1" customWidth="1"/>
    <col min="25" max="25" width="30" bestFit="1" customWidth="1"/>
    <col min="26" max="26" width="12.85546875" bestFit="1" customWidth="1"/>
    <col min="27" max="27" width="14.5703125" bestFit="1" customWidth="1"/>
    <col min="28" max="28" width="7.42578125" bestFit="1" customWidth="1"/>
    <col min="29" max="29" width="11.7109375" bestFit="1" customWidth="1"/>
    <col min="30" max="30" width="15.140625" bestFit="1" customWidth="1"/>
    <col min="31" max="31" width="13.85546875" bestFit="1" customWidth="1"/>
    <col min="32" max="32" width="10.5703125" bestFit="1" customWidth="1"/>
    <col min="34" max="34" width="12.140625" bestFit="1" customWidth="1"/>
    <col min="35" max="35" width="11.28515625" bestFit="1" customWidth="1"/>
  </cols>
  <sheetData>
    <row r="1" spans="1:29">
      <c r="A1" s="39" t="s">
        <v>491</v>
      </c>
      <c r="B1" s="39"/>
      <c r="C1" s="40" t="s">
        <v>355</v>
      </c>
      <c r="D1" s="40" t="s">
        <v>492</v>
      </c>
      <c r="E1" s="40" t="s">
        <v>357</v>
      </c>
      <c r="F1" s="40" t="s">
        <v>493</v>
      </c>
      <c r="G1" s="39" t="s">
        <v>363</v>
      </c>
      <c r="H1" s="189" t="s">
        <v>477</v>
      </c>
      <c r="I1" s="190" t="s">
        <v>337</v>
      </c>
      <c r="J1" s="190" t="s">
        <v>494</v>
      </c>
    </row>
    <row r="2" spans="1:29" ht="45" customHeight="1">
      <c r="A2" s="2">
        <v>1</v>
      </c>
      <c r="B2" s="72" t="s">
        <v>495</v>
      </c>
      <c r="C2" s="2">
        <v>0</v>
      </c>
      <c r="D2" s="2"/>
      <c r="E2" s="2"/>
      <c r="F2" s="2"/>
      <c r="G2" s="2" t="str">
        <f t="shared" ref="G2:G48" si="0">VLOOKUP(B2,QuestionariesRCADS,2,)</f>
        <v>Generalized Anxiety</v>
      </c>
      <c r="H2" s="2" t="str">
        <f t="shared" ref="H2:H48" si="1">VLOOKUP(B2,Questions_group,3,)</f>
        <v>Anxious generally</v>
      </c>
      <c r="I2">
        <f>SUM(C2:F2)</f>
        <v>0</v>
      </c>
      <c r="J2">
        <v>0</v>
      </c>
    </row>
    <row r="3" spans="1:29" ht="30" customHeight="1">
      <c r="A3" s="2">
        <v>2</v>
      </c>
      <c r="B3" s="3" t="s">
        <v>496</v>
      </c>
      <c r="C3" s="2">
        <v>0</v>
      </c>
      <c r="D3" s="2"/>
      <c r="E3" s="2"/>
      <c r="F3" s="2"/>
      <c r="G3" s="2" t="str">
        <f t="shared" si="0"/>
        <v>Major Depression</v>
      </c>
      <c r="H3" s="2" t="str">
        <f t="shared" si="1"/>
        <v>Low mood</v>
      </c>
      <c r="I3">
        <f t="shared" ref="I3:I48" si="2">SUM(C3:F3)</f>
        <v>0</v>
      </c>
      <c r="J3">
        <v>0</v>
      </c>
    </row>
    <row r="4" spans="1:29" ht="90.75" customHeight="1">
      <c r="A4" s="2">
        <v>3</v>
      </c>
      <c r="B4" s="3" t="s">
        <v>497</v>
      </c>
      <c r="C4" s="2">
        <v>0</v>
      </c>
      <c r="D4" s="2"/>
      <c r="E4" s="2"/>
      <c r="F4" s="2"/>
      <c r="G4" s="2" t="str">
        <f t="shared" si="0"/>
        <v>Panic Disorder</v>
      </c>
      <c r="H4" s="2" t="str">
        <f t="shared" si="1"/>
        <v>Panic</v>
      </c>
      <c r="I4">
        <f t="shared" si="2"/>
        <v>0</v>
      </c>
      <c r="J4">
        <v>0</v>
      </c>
      <c r="L4" t="s">
        <v>498</v>
      </c>
      <c r="O4" s="30" t="s">
        <v>495</v>
      </c>
      <c r="P4" s="2" t="s">
        <v>478</v>
      </c>
      <c r="Q4" s="2" t="s">
        <v>479</v>
      </c>
      <c r="Y4" s="47" t="s">
        <v>431</v>
      </c>
      <c r="Z4" s="2" t="s">
        <v>499</v>
      </c>
      <c r="AA4" s="2" t="s">
        <v>500</v>
      </c>
    </row>
    <row r="5" spans="1:29" ht="65.25" customHeight="1">
      <c r="A5" s="2">
        <v>4</v>
      </c>
      <c r="B5" s="3" t="s">
        <v>501</v>
      </c>
      <c r="C5" s="2">
        <v>0</v>
      </c>
      <c r="D5" s="2"/>
      <c r="E5" s="2"/>
      <c r="F5" s="2"/>
      <c r="G5" s="2" t="str">
        <f t="shared" si="0"/>
        <v>Social Phobia</v>
      </c>
      <c r="H5" s="2" t="str">
        <f t="shared" si="1"/>
        <v>Anxious in social situations</v>
      </c>
      <c r="I5">
        <f t="shared" si="2"/>
        <v>0</v>
      </c>
      <c r="J5">
        <v>0</v>
      </c>
      <c r="L5" t="s">
        <v>502</v>
      </c>
      <c r="O5" s="30" t="s">
        <v>503</v>
      </c>
      <c r="P5" s="2" t="s">
        <v>478</v>
      </c>
      <c r="Q5" s="2" t="s">
        <v>479</v>
      </c>
      <c r="Y5" s="48" t="s">
        <v>478</v>
      </c>
      <c r="Z5" s="2">
        <v>12</v>
      </c>
      <c r="AA5" s="2">
        <v>13</v>
      </c>
      <c r="AB5">
        <f>SUM(Z5:AA5)/2</f>
        <v>12.5</v>
      </c>
    </row>
    <row r="6" spans="1:29" ht="15" customHeight="1">
      <c r="A6" s="2">
        <v>5</v>
      </c>
      <c r="B6" s="3" t="s">
        <v>504</v>
      </c>
      <c r="C6" s="2">
        <v>0</v>
      </c>
      <c r="D6" s="2"/>
      <c r="E6" s="2"/>
      <c r="F6" s="2"/>
      <c r="G6" s="2" t="str">
        <f t="shared" si="0"/>
        <v>Separation Anxiety</v>
      </c>
      <c r="H6" s="2" t="str">
        <f t="shared" si="1"/>
        <v>Anxious away from home</v>
      </c>
      <c r="I6">
        <f t="shared" si="2"/>
        <v>0</v>
      </c>
      <c r="J6">
        <v>0</v>
      </c>
      <c r="L6" t="s">
        <v>505</v>
      </c>
      <c r="O6" s="30" t="s">
        <v>506</v>
      </c>
      <c r="P6" s="2" t="s">
        <v>478</v>
      </c>
      <c r="Q6" s="2" t="s">
        <v>479</v>
      </c>
      <c r="U6"/>
      <c r="Y6" s="48" t="s">
        <v>481</v>
      </c>
      <c r="Z6" s="2">
        <v>15</v>
      </c>
      <c r="AA6" s="2">
        <v>19</v>
      </c>
      <c r="AB6">
        <f t="shared" ref="AB6:AB12" si="3">SUM(Z6:AA6)/2</f>
        <v>17</v>
      </c>
    </row>
    <row r="7" spans="1:29" ht="15" customHeight="1">
      <c r="A7" s="2">
        <v>6</v>
      </c>
      <c r="B7" s="3" t="s">
        <v>507</v>
      </c>
      <c r="C7" s="2">
        <v>0</v>
      </c>
      <c r="D7" s="2"/>
      <c r="E7" s="2"/>
      <c r="F7" s="2"/>
      <c r="G7" s="2" t="str">
        <f t="shared" si="0"/>
        <v>Major Depression</v>
      </c>
      <c r="H7" s="2" t="str">
        <f t="shared" si="1"/>
        <v>Low mood</v>
      </c>
      <c r="I7">
        <f t="shared" si="2"/>
        <v>0</v>
      </c>
      <c r="J7">
        <v>0</v>
      </c>
      <c r="L7" t="s">
        <v>508</v>
      </c>
      <c r="O7" s="30" t="s">
        <v>509</v>
      </c>
      <c r="P7" s="2" t="s">
        <v>478</v>
      </c>
      <c r="Q7" s="2" t="s">
        <v>479</v>
      </c>
      <c r="U7"/>
      <c r="Y7" s="48" t="s">
        <v>485</v>
      </c>
      <c r="Z7" s="2">
        <v>14</v>
      </c>
      <c r="AA7" s="2">
        <v>9</v>
      </c>
      <c r="AB7">
        <f t="shared" si="3"/>
        <v>11.5</v>
      </c>
    </row>
    <row r="8" spans="1:29" ht="15" customHeight="1">
      <c r="A8" s="2">
        <v>7</v>
      </c>
      <c r="B8" s="3" t="s">
        <v>510</v>
      </c>
      <c r="C8" s="2">
        <v>0</v>
      </c>
      <c r="D8" s="2"/>
      <c r="E8" s="2"/>
      <c r="F8" s="2"/>
      <c r="G8" s="2" t="str">
        <f t="shared" si="0"/>
        <v>Social Phobia</v>
      </c>
      <c r="H8" s="2" t="str">
        <f t="shared" si="1"/>
        <v>Anxious in social situations</v>
      </c>
      <c r="I8">
        <f t="shared" si="2"/>
        <v>0</v>
      </c>
      <c r="J8">
        <v>0</v>
      </c>
      <c r="L8" t="s">
        <v>511</v>
      </c>
      <c r="O8" s="30" t="s">
        <v>512</v>
      </c>
      <c r="P8" s="2" t="s">
        <v>478</v>
      </c>
      <c r="Q8" s="2" t="s">
        <v>479</v>
      </c>
      <c r="U8"/>
      <c r="Y8" s="48" t="s">
        <v>487</v>
      </c>
      <c r="Z8" s="2">
        <v>20</v>
      </c>
      <c r="AA8" s="2">
        <v>19</v>
      </c>
      <c r="AB8">
        <f t="shared" si="3"/>
        <v>19.5</v>
      </c>
    </row>
    <row r="9" spans="1:29" s="29" customFormat="1" ht="15" customHeight="1">
      <c r="A9" s="2">
        <v>8</v>
      </c>
      <c r="B9" s="3" t="s">
        <v>513</v>
      </c>
      <c r="C9" s="2">
        <v>0</v>
      </c>
      <c r="D9" s="30"/>
      <c r="E9" s="30"/>
      <c r="F9" s="30"/>
      <c r="G9" s="2" t="str">
        <f t="shared" si="0"/>
        <v>Social Phobia</v>
      </c>
      <c r="H9" s="2" t="str">
        <f t="shared" si="1"/>
        <v>Anxious in social situations</v>
      </c>
      <c r="I9">
        <f t="shared" si="2"/>
        <v>0</v>
      </c>
      <c r="J9">
        <v>0</v>
      </c>
      <c r="L9" s="29" t="s">
        <v>514</v>
      </c>
      <c r="O9" s="30" t="s">
        <v>515</v>
      </c>
      <c r="P9" s="2" t="s">
        <v>478</v>
      </c>
      <c r="Q9" s="2" t="s">
        <v>479</v>
      </c>
      <c r="R9"/>
      <c r="U9"/>
      <c r="V9"/>
      <c r="X9"/>
      <c r="Y9" s="48" t="s">
        <v>483</v>
      </c>
      <c r="Z9" s="2">
        <v>12</v>
      </c>
      <c r="AA9" s="2">
        <v>11</v>
      </c>
      <c r="AB9">
        <f t="shared" si="3"/>
        <v>11.5</v>
      </c>
      <c r="AC9"/>
    </row>
    <row r="10" spans="1:29" ht="15" customHeight="1">
      <c r="A10" s="2">
        <v>9</v>
      </c>
      <c r="B10" s="3" t="s">
        <v>516</v>
      </c>
      <c r="C10" s="2">
        <v>0</v>
      </c>
      <c r="D10" s="2"/>
      <c r="E10" s="2"/>
      <c r="F10" s="2"/>
      <c r="G10" s="2" t="str">
        <f t="shared" si="0"/>
        <v>Separation Anxiety</v>
      </c>
      <c r="H10" s="2" t="str">
        <f t="shared" si="1"/>
        <v>Anxious away from home</v>
      </c>
      <c r="I10">
        <f t="shared" si="2"/>
        <v>0</v>
      </c>
      <c r="J10">
        <v>0</v>
      </c>
      <c r="L10" t="s">
        <v>517</v>
      </c>
      <c r="O10" s="30" t="s">
        <v>497</v>
      </c>
      <c r="P10" s="2" t="s">
        <v>487</v>
      </c>
      <c r="Q10" s="2" t="s">
        <v>488</v>
      </c>
      <c r="U10"/>
      <c r="Y10" s="48" t="s">
        <v>489</v>
      </c>
      <c r="Z10" s="2">
        <v>17</v>
      </c>
      <c r="AA10" s="2">
        <v>11</v>
      </c>
      <c r="AB10">
        <f t="shared" si="3"/>
        <v>14</v>
      </c>
    </row>
    <row r="11" spans="1:29" ht="15" customHeight="1">
      <c r="A11" s="2">
        <v>10</v>
      </c>
      <c r="B11" s="3" t="s">
        <v>518</v>
      </c>
      <c r="C11" s="2">
        <v>0</v>
      </c>
      <c r="D11" s="2"/>
      <c r="E11" s="2"/>
      <c r="F11" s="2"/>
      <c r="G11" s="2" t="str">
        <f t="shared" si="0"/>
        <v>Obsessive-Compulsive</v>
      </c>
      <c r="H11" s="2" t="str">
        <f t="shared" si="1"/>
        <v>Compelled to do or think things</v>
      </c>
      <c r="I11">
        <f t="shared" si="2"/>
        <v>0</v>
      </c>
      <c r="J11">
        <v>0</v>
      </c>
      <c r="L11" t="s">
        <v>519</v>
      </c>
      <c r="O11" s="28" t="s">
        <v>520</v>
      </c>
      <c r="P11" s="2" t="s">
        <v>487</v>
      </c>
      <c r="Q11" s="2" t="s">
        <v>488</v>
      </c>
      <c r="U11"/>
      <c r="Y11" s="48" t="s">
        <v>346</v>
      </c>
      <c r="Z11" s="2"/>
      <c r="AA11" s="2"/>
      <c r="AB11">
        <f t="shared" si="3"/>
        <v>0</v>
      </c>
    </row>
    <row r="12" spans="1:29" ht="45.75">
      <c r="A12" s="2">
        <v>11</v>
      </c>
      <c r="B12" s="3" t="s">
        <v>521</v>
      </c>
      <c r="C12" s="2">
        <v>0</v>
      </c>
      <c r="D12" s="2"/>
      <c r="E12" s="2"/>
      <c r="F12" s="2"/>
      <c r="G12" s="2" t="str">
        <f t="shared" si="0"/>
        <v>Major Depression</v>
      </c>
      <c r="H12" s="2" t="str">
        <f t="shared" si="1"/>
        <v>Low mood</v>
      </c>
      <c r="I12">
        <f t="shared" si="2"/>
        <v>0</v>
      </c>
      <c r="J12">
        <v>0</v>
      </c>
      <c r="L12" t="s">
        <v>522</v>
      </c>
      <c r="O12" s="30" t="s">
        <v>523</v>
      </c>
      <c r="P12" s="2" t="s">
        <v>487</v>
      </c>
      <c r="Q12" s="2" t="s">
        <v>488</v>
      </c>
      <c r="U12"/>
      <c r="Y12" s="74" t="s">
        <v>524</v>
      </c>
      <c r="Z12" s="2">
        <v>90</v>
      </c>
      <c r="AA12" s="2">
        <v>82</v>
      </c>
      <c r="AB12">
        <f t="shared" si="3"/>
        <v>86</v>
      </c>
    </row>
    <row r="13" spans="1:29" ht="15" customHeight="1">
      <c r="A13" s="2">
        <v>12</v>
      </c>
      <c r="B13" s="3" t="s">
        <v>525</v>
      </c>
      <c r="C13" s="2">
        <v>0</v>
      </c>
      <c r="D13" s="2"/>
      <c r="E13" s="2"/>
      <c r="F13" s="2"/>
      <c r="G13" s="2" t="str">
        <f t="shared" si="0"/>
        <v>Social Phobia</v>
      </c>
      <c r="H13" s="2" t="str">
        <f t="shared" si="1"/>
        <v>Anxious in social situations</v>
      </c>
      <c r="I13">
        <f t="shared" si="2"/>
        <v>0</v>
      </c>
      <c r="J13">
        <v>0</v>
      </c>
      <c r="L13" t="s">
        <v>526</v>
      </c>
      <c r="O13" s="30" t="s">
        <v>527</v>
      </c>
      <c r="P13" s="2" t="s">
        <v>487</v>
      </c>
      <c r="Q13" s="2" t="s">
        <v>488</v>
      </c>
      <c r="U13"/>
      <c r="Y13" s="45" t="s">
        <v>528</v>
      </c>
      <c r="Z13" s="39"/>
      <c r="AA13" s="39"/>
      <c r="AB13" s="39">
        <f>SUM(AB5,AB7:AB10)</f>
        <v>69</v>
      </c>
    </row>
    <row r="14" spans="1:29" ht="30.75">
      <c r="A14" s="2">
        <v>13</v>
      </c>
      <c r="B14" s="3" t="s">
        <v>503</v>
      </c>
      <c r="C14" s="2">
        <v>0</v>
      </c>
      <c r="D14" s="2"/>
      <c r="E14" s="2"/>
      <c r="F14" s="2"/>
      <c r="G14" s="2" t="str">
        <f t="shared" si="0"/>
        <v>Generalized Anxiety</v>
      </c>
      <c r="H14" s="2" t="str">
        <f t="shared" si="1"/>
        <v>Anxious generally</v>
      </c>
      <c r="I14">
        <f t="shared" si="2"/>
        <v>0</v>
      </c>
      <c r="J14">
        <v>3</v>
      </c>
      <c r="L14" t="s">
        <v>529</v>
      </c>
      <c r="O14" s="30" t="s">
        <v>530</v>
      </c>
      <c r="P14" s="2" t="s">
        <v>487</v>
      </c>
      <c r="Q14" s="2" t="s">
        <v>488</v>
      </c>
      <c r="U14"/>
    </row>
    <row r="15" spans="1:29" ht="41.25" customHeight="1">
      <c r="A15" s="2">
        <v>14</v>
      </c>
      <c r="B15" s="3" t="s">
        <v>520</v>
      </c>
      <c r="C15" s="2">
        <v>0</v>
      </c>
      <c r="D15" s="2"/>
      <c r="E15" s="2"/>
      <c r="F15" s="2"/>
      <c r="G15" s="2" t="str">
        <f t="shared" si="0"/>
        <v>Panic Disorder</v>
      </c>
      <c r="H15" s="2" t="str">
        <f t="shared" si="1"/>
        <v>Panic</v>
      </c>
      <c r="I15">
        <f t="shared" si="2"/>
        <v>0</v>
      </c>
      <c r="J15">
        <v>3</v>
      </c>
      <c r="L15" t="s">
        <v>531</v>
      </c>
      <c r="O15" s="30" t="s">
        <v>532</v>
      </c>
      <c r="P15" s="2" t="s">
        <v>487</v>
      </c>
      <c r="Q15" s="2" t="s">
        <v>488</v>
      </c>
      <c r="U15" s="46"/>
      <c r="V15" s="42"/>
    </row>
    <row r="16" spans="1:29" ht="30" customHeight="1">
      <c r="A16" s="2">
        <v>15</v>
      </c>
      <c r="B16" s="3" t="s">
        <v>533</v>
      </c>
      <c r="C16" s="2">
        <v>0</v>
      </c>
      <c r="D16" s="2"/>
      <c r="E16" s="2"/>
      <c r="F16" s="2"/>
      <c r="G16" s="2" t="str">
        <f t="shared" si="0"/>
        <v>Major Depression</v>
      </c>
      <c r="H16" s="2" t="str">
        <f t="shared" si="1"/>
        <v>Low mood</v>
      </c>
      <c r="I16">
        <f t="shared" si="2"/>
        <v>0</v>
      </c>
      <c r="J16">
        <v>3</v>
      </c>
      <c r="L16" t="s">
        <v>534</v>
      </c>
      <c r="O16" s="30" t="s">
        <v>535</v>
      </c>
      <c r="P16" s="2" t="s">
        <v>487</v>
      </c>
      <c r="Q16" s="2" t="s">
        <v>488</v>
      </c>
    </row>
    <row r="17" spans="1:25" ht="15" customHeight="1">
      <c r="A17" s="2">
        <v>16</v>
      </c>
      <c r="B17" s="3" t="s">
        <v>536</v>
      </c>
      <c r="C17" s="3"/>
      <c r="D17" s="2">
        <v>1</v>
      </c>
      <c r="E17" s="2"/>
      <c r="F17" s="2"/>
      <c r="G17" s="2" t="str">
        <f t="shared" si="0"/>
        <v>Obsessive-Compulsive</v>
      </c>
      <c r="H17" s="2" t="str">
        <f t="shared" si="1"/>
        <v>Compelled to do or think things</v>
      </c>
      <c r="I17">
        <f t="shared" si="2"/>
        <v>1</v>
      </c>
      <c r="J17">
        <v>3</v>
      </c>
      <c r="L17" t="s">
        <v>537</v>
      </c>
      <c r="O17" s="30" t="s">
        <v>538</v>
      </c>
      <c r="P17" s="2" t="s">
        <v>487</v>
      </c>
      <c r="Q17" s="2" t="s">
        <v>488</v>
      </c>
      <c r="U17" s="55" t="s">
        <v>363</v>
      </c>
      <c r="V17" t="s">
        <v>499</v>
      </c>
      <c r="W17" s="105" t="s">
        <v>477</v>
      </c>
      <c r="X17" t="s">
        <v>539</v>
      </c>
      <c r="Y17" t="s">
        <v>540</v>
      </c>
    </row>
    <row r="18" spans="1:25" ht="15" customHeight="1">
      <c r="A18" s="2">
        <v>17</v>
      </c>
      <c r="B18" s="3" t="s">
        <v>541</v>
      </c>
      <c r="C18" s="3"/>
      <c r="D18" s="2">
        <v>1</v>
      </c>
      <c r="E18" s="2"/>
      <c r="F18" s="2"/>
      <c r="G18" s="2" t="str">
        <f t="shared" si="0"/>
        <v>Separation Anxiety</v>
      </c>
      <c r="H18" s="2" t="str">
        <f t="shared" si="1"/>
        <v>Anxious away from home</v>
      </c>
      <c r="I18">
        <f t="shared" si="2"/>
        <v>1</v>
      </c>
      <c r="J18">
        <v>3</v>
      </c>
      <c r="L18" t="s">
        <v>542</v>
      </c>
      <c r="O18" s="30" t="s">
        <v>543</v>
      </c>
      <c r="P18" s="2" t="s">
        <v>487</v>
      </c>
      <c r="Q18" s="2" t="s">
        <v>488</v>
      </c>
      <c r="U18" s="98" t="s">
        <v>478</v>
      </c>
      <c r="V18" s="98">
        <v>6</v>
      </c>
      <c r="W18" s="104" t="s">
        <v>479</v>
      </c>
    </row>
    <row r="19" spans="1:25" ht="30.75">
      <c r="A19" s="2">
        <v>18</v>
      </c>
      <c r="B19" s="3" t="s">
        <v>544</v>
      </c>
      <c r="C19" s="3"/>
      <c r="D19" s="2">
        <v>1</v>
      </c>
      <c r="E19" s="2"/>
      <c r="F19" s="2"/>
      <c r="G19" s="2" t="str">
        <f t="shared" si="0"/>
        <v>Separation Anxiety</v>
      </c>
      <c r="H19" s="2" t="str">
        <f t="shared" si="1"/>
        <v>Anxious away from home</v>
      </c>
      <c r="I19">
        <f t="shared" si="2"/>
        <v>1</v>
      </c>
      <c r="J19">
        <v>3</v>
      </c>
      <c r="L19" t="s">
        <v>545</v>
      </c>
      <c r="O19" s="30" t="s">
        <v>501</v>
      </c>
      <c r="P19" s="2" t="s">
        <v>489</v>
      </c>
      <c r="Q19" s="2" t="s">
        <v>490</v>
      </c>
      <c r="U19" s="98" t="s">
        <v>481</v>
      </c>
      <c r="V19" s="98">
        <v>9</v>
      </c>
      <c r="W19" s="104" t="s">
        <v>482</v>
      </c>
    </row>
    <row r="20" spans="1:25" ht="30.75">
      <c r="A20" s="2">
        <v>19</v>
      </c>
      <c r="B20" s="3" t="s">
        <v>546</v>
      </c>
      <c r="C20" s="3"/>
      <c r="D20" s="2">
        <v>1</v>
      </c>
      <c r="E20" s="2"/>
      <c r="F20" s="2"/>
      <c r="G20" s="2" t="str">
        <f t="shared" si="0"/>
        <v>Major Depression</v>
      </c>
      <c r="H20" s="2" t="str">
        <f t="shared" si="1"/>
        <v>Low mood</v>
      </c>
      <c r="I20">
        <f t="shared" si="2"/>
        <v>1</v>
      </c>
      <c r="J20">
        <v>3</v>
      </c>
      <c r="L20" t="s">
        <v>547</v>
      </c>
      <c r="O20" s="30" t="s">
        <v>510</v>
      </c>
      <c r="P20" s="2" t="s">
        <v>489</v>
      </c>
      <c r="Q20" s="2" t="s">
        <v>490</v>
      </c>
      <c r="U20" s="98" t="s">
        <v>485</v>
      </c>
      <c r="V20" s="98">
        <v>8</v>
      </c>
      <c r="W20" s="197" t="s">
        <v>486</v>
      </c>
    </row>
    <row r="21" spans="1:25" ht="15" customHeight="1">
      <c r="A21" s="2">
        <v>20</v>
      </c>
      <c r="B21" s="3" t="s">
        <v>548</v>
      </c>
      <c r="C21" s="3"/>
      <c r="D21" s="2">
        <v>1</v>
      </c>
      <c r="E21" s="2"/>
      <c r="F21" s="2"/>
      <c r="G21" s="2" t="str">
        <f t="shared" si="0"/>
        <v>Social Phobia</v>
      </c>
      <c r="H21" s="2" t="str">
        <f t="shared" si="1"/>
        <v>Anxious in social situations</v>
      </c>
      <c r="I21">
        <f t="shared" si="2"/>
        <v>1</v>
      </c>
      <c r="J21">
        <v>3</v>
      </c>
      <c r="L21" t="s">
        <v>549</v>
      </c>
      <c r="O21" s="30" t="s">
        <v>513</v>
      </c>
      <c r="P21" s="2" t="s">
        <v>489</v>
      </c>
      <c r="Q21" s="2" t="s">
        <v>490</v>
      </c>
      <c r="U21" s="98" t="s">
        <v>487</v>
      </c>
      <c r="V21" s="98">
        <v>11</v>
      </c>
      <c r="W21" s="104" t="s">
        <v>488</v>
      </c>
    </row>
    <row r="22" spans="1:25" ht="15" customHeight="1">
      <c r="A22" s="2">
        <v>21</v>
      </c>
      <c r="B22" s="3" t="s">
        <v>550</v>
      </c>
      <c r="C22" s="3"/>
      <c r="D22" s="2">
        <v>1</v>
      </c>
      <c r="E22" s="2"/>
      <c r="F22" s="2"/>
      <c r="G22" s="2" t="str">
        <f t="shared" si="0"/>
        <v>Major Depression</v>
      </c>
      <c r="H22" s="2" t="str">
        <f t="shared" si="1"/>
        <v>Low mood</v>
      </c>
      <c r="I22">
        <f t="shared" si="2"/>
        <v>1</v>
      </c>
      <c r="J22">
        <v>3</v>
      </c>
      <c r="L22" t="s">
        <v>551</v>
      </c>
      <c r="O22" s="30" t="s">
        <v>525</v>
      </c>
      <c r="P22" s="2" t="s">
        <v>489</v>
      </c>
      <c r="Q22" s="2" t="s">
        <v>490</v>
      </c>
      <c r="U22" s="98" t="s">
        <v>483</v>
      </c>
      <c r="V22" s="98">
        <v>9</v>
      </c>
      <c r="W22" s="104" t="s">
        <v>484</v>
      </c>
    </row>
    <row r="23" spans="1:25" ht="15" customHeight="1">
      <c r="A23" s="2">
        <v>22</v>
      </c>
      <c r="B23" s="3" t="s">
        <v>506</v>
      </c>
      <c r="C23" s="3"/>
      <c r="D23" s="2">
        <v>1</v>
      </c>
      <c r="E23" s="2"/>
      <c r="F23" s="2"/>
      <c r="G23" s="2" t="str">
        <f t="shared" si="0"/>
        <v>Generalized Anxiety</v>
      </c>
      <c r="H23" s="2" t="str">
        <f t="shared" si="1"/>
        <v>Anxious generally</v>
      </c>
      <c r="I23">
        <f t="shared" si="2"/>
        <v>1</v>
      </c>
      <c r="J23">
        <v>3</v>
      </c>
      <c r="L23" t="s">
        <v>552</v>
      </c>
      <c r="O23" s="30" t="s">
        <v>548</v>
      </c>
      <c r="P23" s="2" t="s">
        <v>489</v>
      </c>
      <c r="Q23" s="2" t="s">
        <v>490</v>
      </c>
      <c r="U23" s="98" t="s">
        <v>489</v>
      </c>
      <c r="V23" s="98">
        <v>8</v>
      </c>
      <c r="W23" s="104" t="s">
        <v>490</v>
      </c>
    </row>
    <row r="24" spans="1:25" ht="15" customHeight="1">
      <c r="A24" s="2">
        <v>23</v>
      </c>
      <c r="B24" s="3" t="s">
        <v>553</v>
      </c>
      <c r="C24" s="3"/>
      <c r="D24" s="2">
        <v>1</v>
      </c>
      <c r="E24" s="2"/>
      <c r="F24" s="2"/>
      <c r="G24" s="2" t="str">
        <f t="shared" si="0"/>
        <v>Obsessive-Compulsive</v>
      </c>
      <c r="H24" s="2" t="str">
        <f t="shared" si="1"/>
        <v>Compelled to do or think things</v>
      </c>
      <c r="I24">
        <f t="shared" si="2"/>
        <v>1</v>
      </c>
      <c r="J24">
        <v>3</v>
      </c>
      <c r="L24" t="s">
        <v>554</v>
      </c>
      <c r="O24" s="30" t="s">
        <v>555</v>
      </c>
      <c r="P24" s="2" t="s">
        <v>489</v>
      </c>
      <c r="Q24" s="2" t="s">
        <v>490</v>
      </c>
      <c r="U24" s="109" t="s">
        <v>346</v>
      </c>
      <c r="V24" s="109"/>
      <c r="W24" s="104"/>
    </row>
    <row r="25" spans="1:25" ht="15" customHeight="1">
      <c r="A25" s="2">
        <v>24</v>
      </c>
      <c r="B25" s="3" t="s">
        <v>523</v>
      </c>
      <c r="C25" s="3"/>
      <c r="D25" s="2">
        <v>1</v>
      </c>
      <c r="E25" s="2"/>
      <c r="F25" s="2"/>
      <c r="G25" s="2" t="str">
        <f t="shared" si="0"/>
        <v>Panic Disorder</v>
      </c>
      <c r="H25" s="2" t="str">
        <f t="shared" si="1"/>
        <v>Panic</v>
      </c>
      <c r="I25">
        <f t="shared" si="2"/>
        <v>1</v>
      </c>
      <c r="J25">
        <v>3</v>
      </c>
      <c r="L25" t="s">
        <v>556</v>
      </c>
      <c r="O25" s="30" t="s">
        <v>557</v>
      </c>
      <c r="P25" s="2" t="s">
        <v>489</v>
      </c>
      <c r="Q25" s="2" t="s">
        <v>490</v>
      </c>
      <c r="U25" s="98" t="s">
        <v>558</v>
      </c>
      <c r="V25" s="98">
        <v>51</v>
      </c>
      <c r="W25" s="107" t="s">
        <v>559</v>
      </c>
    </row>
    <row r="26" spans="1:25" ht="15" customHeight="1">
      <c r="A26" s="2">
        <v>25</v>
      </c>
      <c r="B26" s="3" t="s">
        <v>560</v>
      </c>
      <c r="C26" s="3"/>
      <c r="D26" s="2">
        <v>1</v>
      </c>
      <c r="E26" s="2"/>
      <c r="F26" s="2"/>
      <c r="G26" s="2" t="str">
        <f t="shared" si="0"/>
        <v>Major Depression</v>
      </c>
      <c r="H26" s="2" t="str">
        <f t="shared" si="1"/>
        <v>Low mood</v>
      </c>
      <c r="I26">
        <f t="shared" si="2"/>
        <v>1</v>
      </c>
      <c r="J26">
        <v>3</v>
      </c>
      <c r="L26" t="s">
        <v>561</v>
      </c>
      <c r="O26" s="30" t="s">
        <v>562</v>
      </c>
      <c r="P26" s="2" t="s">
        <v>489</v>
      </c>
      <c r="Q26" s="2" t="s">
        <v>490</v>
      </c>
      <c r="U26" s="105" t="s">
        <v>563</v>
      </c>
      <c r="V26" s="137">
        <f>SUM(V18,V20:V23)</f>
        <v>42</v>
      </c>
      <c r="W26" s="215" t="s">
        <v>564</v>
      </c>
    </row>
    <row r="27" spans="1:25" ht="15" customHeight="1">
      <c r="A27" s="2">
        <v>26</v>
      </c>
      <c r="B27" s="3" t="s">
        <v>527</v>
      </c>
      <c r="C27" s="3"/>
      <c r="D27" s="2">
        <v>1</v>
      </c>
      <c r="E27" s="2"/>
      <c r="F27" s="2"/>
      <c r="G27" s="2" t="str">
        <f t="shared" si="0"/>
        <v>Panic Disorder</v>
      </c>
      <c r="H27" s="2" t="str">
        <f t="shared" si="1"/>
        <v>Panic</v>
      </c>
      <c r="I27">
        <f t="shared" si="2"/>
        <v>1</v>
      </c>
      <c r="J27">
        <v>3</v>
      </c>
      <c r="L27" t="s">
        <v>565</v>
      </c>
      <c r="O27" s="30" t="s">
        <v>566</v>
      </c>
      <c r="P27" s="2" t="s">
        <v>489</v>
      </c>
      <c r="Q27" s="2" t="s">
        <v>490</v>
      </c>
      <c r="U27"/>
    </row>
    <row r="28" spans="1:25" ht="15" customHeight="1">
      <c r="A28" s="2">
        <v>27</v>
      </c>
      <c r="B28" s="3" t="s">
        <v>509</v>
      </c>
      <c r="C28" s="3"/>
      <c r="D28" s="2">
        <v>1</v>
      </c>
      <c r="E28" s="2"/>
      <c r="F28" s="2"/>
      <c r="G28" s="2" t="str">
        <f t="shared" si="0"/>
        <v>Generalized Anxiety</v>
      </c>
      <c r="H28" s="2" t="str">
        <f t="shared" si="1"/>
        <v>Anxious generally</v>
      </c>
      <c r="I28">
        <f t="shared" si="2"/>
        <v>1</v>
      </c>
      <c r="J28">
        <v>3</v>
      </c>
      <c r="L28" t="s">
        <v>567</v>
      </c>
      <c r="O28" s="30" t="s">
        <v>496</v>
      </c>
      <c r="P28" s="2" t="s">
        <v>481</v>
      </c>
      <c r="Q28" s="2" t="s">
        <v>482</v>
      </c>
      <c r="U28"/>
    </row>
    <row r="29" spans="1:25" ht="15" customHeight="1">
      <c r="A29" s="2">
        <v>28</v>
      </c>
      <c r="B29" s="3" t="s">
        <v>530</v>
      </c>
      <c r="C29" s="3"/>
      <c r="D29" s="2">
        <v>1</v>
      </c>
      <c r="E29" s="2"/>
      <c r="F29" s="2"/>
      <c r="G29" s="2" t="str">
        <f t="shared" si="0"/>
        <v>Panic Disorder</v>
      </c>
      <c r="H29" s="2" t="str">
        <f t="shared" si="1"/>
        <v>Panic</v>
      </c>
      <c r="I29">
        <f t="shared" si="2"/>
        <v>1</v>
      </c>
      <c r="J29">
        <v>3</v>
      </c>
      <c r="L29" t="s">
        <v>568</v>
      </c>
      <c r="O29" s="30" t="s">
        <v>507</v>
      </c>
      <c r="P29" s="2" t="s">
        <v>481</v>
      </c>
      <c r="Q29" s="2" t="s">
        <v>482</v>
      </c>
      <c r="U29"/>
    </row>
    <row r="30" spans="1:25" ht="15" customHeight="1">
      <c r="A30" s="2">
        <v>29</v>
      </c>
      <c r="B30" s="3" t="s">
        <v>569</v>
      </c>
      <c r="C30" s="3"/>
      <c r="D30" s="2">
        <v>1</v>
      </c>
      <c r="E30" s="2"/>
      <c r="F30" s="2"/>
      <c r="G30" s="2" t="str">
        <f t="shared" si="0"/>
        <v>Major Depression</v>
      </c>
      <c r="H30" s="2" t="str">
        <f t="shared" si="1"/>
        <v>Low mood</v>
      </c>
      <c r="I30">
        <f t="shared" si="2"/>
        <v>1</v>
      </c>
      <c r="J30">
        <v>3</v>
      </c>
      <c r="L30" t="s">
        <v>570</v>
      </c>
      <c r="O30" s="30" t="s">
        <v>521</v>
      </c>
      <c r="P30" s="2" t="s">
        <v>481</v>
      </c>
      <c r="Q30" s="2" t="s">
        <v>482</v>
      </c>
      <c r="U30"/>
    </row>
    <row r="31" spans="1:25" ht="15" customHeight="1">
      <c r="A31" s="2">
        <v>30</v>
      </c>
      <c r="B31" s="3" t="s">
        <v>555</v>
      </c>
      <c r="C31" s="3"/>
      <c r="D31" s="2">
        <v>1</v>
      </c>
      <c r="E31" s="2"/>
      <c r="F31" s="2"/>
      <c r="G31" s="2" t="str">
        <f t="shared" si="0"/>
        <v>Social Phobia</v>
      </c>
      <c r="H31" s="2" t="str">
        <f t="shared" si="1"/>
        <v>Anxious in social situations</v>
      </c>
      <c r="I31">
        <f t="shared" si="2"/>
        <v>1</v>
      </c>
      <c r="J31">
        <v>3</v>
      </c>
      <c r="L31" t="s">
        <v>571</v>
      </c>
      <c r="O31" s="30" t="s">
        <v>533</v>
      </c>
      <c r="P31" s="2" t="s">
        <v>481</v>
      </c>
      <c r="Q31" s="2" t="s">
        <v>482</v>
      </c>
      <c r="U31"/>
    </row>
    <row r="32" spans="1:25" ht="15" customHeight="1">
      <c r="A32" s="2">
        <v>31</v>
      </c>
      <c r="B32" s="3" t="s">
        <v>572</v>
      </c>
      <c r="C32" s="3"/>
      <c r="D32" s="2"/>
      <c r="E32" s="2">
        <v>2</v>
      </c>
      <c r="F32" s="2"/>
      <c r="G32" s="2" t="str">
        <f t="shared" si="0"/>
        <v>Obsessive-Compulsive</v>
      </c>
      <c r="H32" s="2" t="str">
        <f t="shared" si="1"/>
        <v>Compelled to do or think things</v>
      </c>
      <c r="I32">
        <f t="shared" si="2"/>
        <v>2</v>
      </c>
      <c r="J32">
        <v>1</v>
      </c>
      <c r="L32" t="s">
        <v>573</v>
      </c>
      <c r="O32" s="30" t="s">
        <v>546</v>
      </c>
      <c r="P32" s="2" t="s">
        <v>481</v>
      </c>
      <c r="Q32" s="2" t="s">
        <v>482</v>
      </c>
      <c r="U32"/>
    </row>
    <row r="33" spans="1:21" ht="30.75">
      <c r="A33" s="2">
        <v>32</v>
      </c>
      <c r="B33" s="3" t="s">
        <v>557</v>
      </c>
      <c r="C33" s="3"/>
      <c r="D33" s="2"/>
      <c r="E33" s="2">
        <v>2</v>
      </c>
      <c r="F33" s="2"/>
      <c r="G33" s="2" t="str">
        <f t="shared" si="0"/>
        <v>Social Phobia</v>
      </c>
      <c r="H33" s="2" t="str">
        <f t="shared" si="1"/>
        <v>Anxious in social situations</v>
      </c>
      <c r="I33">
        <f t="shared" si="2"/>
        <v>2</v>
      </c>
      <c r="J33">
        <v>2</v>
      </c>
      <c r="L33" t="s">
        <v>574</v>
      </c>
      <c r="O33" s="30" t="s">
        <v>550</v>
      </c>
      <c r="P33" s="2" t="s">
        <v>481</v>
      </c>
      <c r="Q33" s="2" t="s">
        <v>482</v>
      </c>
      <c r="U33"/>
    </row>
    <row r="34" spans="1:21" ht="45.75">
      <c r="A34" s="2">
        <v>33</v>
      </c>
      <c r="B34" s="3" t="s">
        <v>575</v>
      </c>
      <c r="C34" s="3"/>
      <c r="D34" s="2"/>
      <c r="E34" s="2">
        <v>2</v>
      </c>
      <c r="F34" s="2"/>
      <c r="G34" s="2" t="str">
        <f t="shared" si="0"/>
        <v>Separation Anxiety</v>
      </c>
      <c r="H34" s="2" t="str">
        <f t="shared" si="1"/>
        <v>Anxious away from home</v>
      </c>
      <c r="I34">
        <f t="shared" si="2"/>
        <v>2</v>
      </c>
      <c r="J34">
        <v>1</v>
      </c>
      <c r="L34" t="s">
        <v>576</v>
      </c>
      <c r="O34" s="30" t="s">
        <v>560</v>
      </c>
      <c r="P34" s="2" t="s">
        <v>481</v>
      </c>
      <c r="Q34" s="2" t="s">
        <v>482</v>
      </c>
      <c r="U34"/>
    </row>
    <row r="35" spans="1:21" ht="30">
      <c r="A35" s="2">
        <v>34</v>
      </c>
      <c r="B35" s="3" t="s">
        <v>532</v>
      </c>
      <c r="C35" s="3"/>
      <c r="D35" s="2"/>
      <c r="E35" s="2">
        <v>2</v>
      </c>
      <c r="F35" s="2"/>
      <c r="G35" s="2" t="str">
        <f t="shared" si="0"/>
        <v>Panic Disorder</v>
      </c>
      <c r="H35" s="2" t="str">
        <f t="shared" si="1"/>
        <v>Panic</v>
      </c>
      <c r="I35">
        <f t="shared" si="2"/>
        <v>2</v>
      </c>
      <c r="J35">
        <v>2</v>
      </c>
      <c r="L35" t="s">
        <v>577</v>
      </c>
      <c r="O35" s="30" t="s">
        <v>569</v>
      </c>
      <c r="P35" s="2" t="s">
        <v>481</v>
      </c>
      <c r="Q35" s="2" t="s">
        <v>482</v>
      </c>
    </row>
    <row r="36" spans="1:21" ht="30">
      <c r="A36" s="2">
        <v>35</v>
      </c>
      <c r="B36" s="3" t="s">
        <v>512</v>
      </c>
      <c r="C36" s="3"/>
      <c r="D36" s="2"/>
      <c r="E36" s="2">
        <v>2</v>
      </c>
      <c r="F36" s="2"/>
      <c r="G36" s="2" t="str">
        <f t="shared" si="0"/>
        <v>Generalized Anxiety</v>
      </c>
      <c r="H36" s="2" t="str">
        <f t="shared" si="1"/>
        <v>Anxious generally</v>
      </c>
      <c r="I36">
        <f t="shared" si="2"/>
        <v>2</v>
      </c>
      <c r="J36">
        <v>2</v>
      </c>
      <c r="L36" t="s">
        <v>578</v>
      </c>
      <c r="O36" s="30" t="s">
        <v>579</v>
      </c>
      <c r="P36" s="2" t="s">
        <v>481</v>
      </c>
      <c r="Q36" s="2" t="s">
        <v>482</v>
      </c>
    </row>
    <row r="37" spans="1:21" ht="30">
      <c r="A37" s="2">
        <v>36</v>
      </c>
      <c r="B37" s="3" t="s">
        <v>535</v>
      </c>
      <c r="C37" s="3"/>
      <c r="D37" s="2"/>
      <c r="E37" s="2">
        <v>2</v>
      </c>
      <c r="F37" s="2"/>
      <c r="G37" s="2" t="str">
        <f t="shared" si="0"/>
        <v>Panic Disorder</v>
      </c>
      <c r="H37" s="2" t="str">
        <f t="shared" si="1"/>
        <v>Panic</v>
      </c>
      <c r="I37">
        <f t="shared" si="2"/>
        <v>2</v>
      </c>
      <c r="J37">
        <v>2</v>
      </c>
      <c r="L37" t="s">
        <v>580</v>
      </c>
      <c r="O37" s="30" t="s">
        <v>581</v>
      </c>
      <c r="P37" s="2" t="s">
        <v>481</v>
      </c>
      <c r="Q37" s="2" t="s">
        <v>482</v>
      </c>
    </row>
    <row r="38" spans="1:21" ht="30">
      <c r="A38" s="2">
        <v>37</v>
      </c>
      <c r="B38" s="3" t="s">
        <v>515</v>
      </c>
      <c r="C38" s="3"/>
      <c r="D38" s="2"/>
      <c r="E38" s="2">
        <v>2</v>
      </c>
      <c r="F38" s="2"/>
      <c r="G38" s="2" t="str">
        <f t="shared" si="0"/>
        <v>Generalized Anxiety</v>
      </c>
      <c r="H38" s="2" t="str">
        <f t="shared" si="1"/>
        <v>Anxious generally</v>
      </c>
      <c r="I38">
        <f t="shared" si="2"/>
        <v>2</v>
      </c>
      <c r="J38">
        <v>2</v>
      </c>
      <c r="L38" t="s">
        <v>582</v>
      </c>
      <c r="O38" s="30" t="s">
        <v>518</v>
      </c>
      <c r="P38" s="2" t="s">
        <v>485</v>
      </c>
      <c r="Q38" s="2" t="s">
        <v>486</v>
      </c>
    </row>
    <row r="39" spans="1:21" ht="43.5" customHeight="1">
      <c r="A39" s="2">
        <v>38</v>
      </c>
      <c r="B39" s="3" t="s">
        <v>562</v>
      </c>
      <c r="C39" s="3"/>
      <c r="D39" s="2"/>
      <c r="E39" s="2">
        <v>2</v>
      </c>
      <c r="F39" s="2"/>
      <c r="G39" s="2" t="str">
        <f t="shared" si="0"/>
        <v>Social Phobia</v>
      </c>
      <c r="H39" s="2" t="str">
        <f t="shared" si="1"/>
        <v>Anxious in social situations</v>
      </c>
      <c r="I39">
        <f t="shared" si="2"/>
        <v>2</v>
      </c>
      <c r="J39">
        <v>2</v>
      </c>
      <c r="L39" t="s">
        <v>583</v>
      </c>
      <c r="O39" s="30" t="s">
        <v>536</v>
      </c>
      <c r="P39" s="2" t="s">
        <v>485</v>
      </c>
      <c r="Q39" s="2" t="s">
        <v>486</v>
      </c>
    </row>
    <row r="40" spans="1:21" ht="45" customHeight="1">
      <c r="A40" s="2">
        <v>39</v>
      </c>
      <c r="B40" s="3" t="s">
        <v>538</v>
      </c>
      <c r="C40" s="3"/>
      <c r="D40" s="2"/>
      <c r="E40" s="2">
        <v>2</v>
      </c>
      <c r="F40" s="2"/>
      <c r="G40" s="2" t="str">
        <f t="shared" si="0"/>
        <v>Panic Disorder</v>
      </c>
      <c r="H40" s="2" t="str">
        <f t="shared" si="1"/>
        <v>Panic</v>
      </c>
      <c r="I40">
        <f t="shared" si="2"/>
        <v>2</v>
      </c>
      <c r="J40">
        <v>2</v>
      </c>
      <c r="L40" t="s">
        <v>584</v>
      </c>
      <c r="O40" s="3" t="s">
        <v>553</v>
      </c>
      <c r="P40" s="2" t="s">
        <v>485</v>
      </c>
      <c r="Q40" s="2" t="s">
        <v>486</v>
      </c>
    </row>
    <row r="41" spans="1:21" ht="45">
      <c r="A41" s="2">
        <v>40</v>
      </c>
      <c r="B41" s="3" t="s">
        <v>579</v>
      </c>
      <c r="C41" s="3"/>
      <c r="D41" s="2"/>
      <c r="E41" s="2">
        <v>2</v>
      </c>
      <c r="F41" s="2"/>
      <c r="G41" s="2" t="str">
        <f t="shared" si="0"/>
        <v>Major Depression</v>
      </c>
      <c r="H41" s="2" t="str">
        <f t="shared" si="1"/>
        <v>Low mood</v>
      </c>
      <c r="I41">
        <f t="shared" si="2"/>
        <v>2</v>
      </c>
      <c r="J41">
        <v>2</v>
      </c>
      <c r="L41" t="s">
        <v>585</v>
      </c>
      <c r="O41" s="30" t="s">
        <v>572</v>
      </c>
      <c r="P41" s="2" t="s">
        <v>485</v>
      </c>
      <c r="Q41" s="2" t="s">
        <v>486</v>
      </c>
    </row>
    <row r="42" spans="1:21" ht="57" customHeight="1">
      <c r="A42" s="2">
        <v>41</v>
      </c>
      <c r="B42" s="3" t="s">
        <v>543</v>
      </c>
      <c r="C42" s="3"/>
      <c r="D42" s="2"/>
      <c r="E42" s="2">
        <v>2</v>
      </c>
      <c r="F42" s="2"/>
      <c r="G42" s="2" t="str">
        <f t="shared" si="0"/>
        <v>Panic Disorder</v>
      </c>
      <c r="H42" s="2" t="str">
        <f t="shared" si="1"/>
        <v>Panic</v>
      </c>
      <c r="I42">
        <f t="shared" si="2"/>
        <v>2</v>
      </c>
      <c r="J42">
        <v>1</v>
      </c>
      <c r="L42" t="s">
        <v>586</v>
      </c>
      <c r="O42" s="3" t="s">
        <v>587</v>
      </c>
      <c r="P42" s="2" t="s">
        <v>485</v>
      </c>
      <c r="Q42" s="2" t="s">
        <v>486</v>
      </c>
    </row>
    <row r="43" spans="1:21" ht="79.5" customHeight="1">
      <c r="A43" s="2">
        <v>42</v>
      </c>
      <c r="B43" s="3" t="s">
        <v>587</v>
      </c>
      <c r="C43" s="3"/>
      <c r="D43" s="2"/>
      <c r="E43" s="2">
        <v>2</v>
      </c>
      <c r="F43" s="2"/>
      <c r="G43" s="2" t="str">
        <f t="shared" si="0"/>
        <v>Obsessive-Compulsive</v>
      </c>
      <c r="H43" s="2" t="str">
        <f t="shared" si="1"/>
        <v>Compelled to do or think things</v>
      </c>
      <c r="I43">
        <f t="shared" si="2"/>
        <v>2</v>
      </c>
      <c r="J43">
        <v>1</v>
      </c>
      <c r="L43" t="s">
        <v>588</v>
      </c>
      <c r="O43" s="30" t="s">
        <v>589</v>
      </c>
      <c r="P43" s="2" t="s">
        <v>485</v>
      </c>
      <c r="Q43" s="2" t="s">
        <v>486</v>
      </c>
    </row>
    <row r="44" spans="1:21" ht="68.25" customHeight="1">
      <c r="A44" s="2">
        <v>43</v>
      </c>
      <c r="B44" s="3" t="s">
        <v>566</v>
      </c>
      <c r="C44" s="3"/>
      <c r="D44" s="2"/>
      <c r="E44" s="2">
        <v>2</v>
      </c>
      <c r="F44" s="2"/>
      <c r="G44" s="2" t="str">
        <f t="shared" si="0"/>
        <v>Social Phobia</v>
      </c>
      <c r="H44" s="2" t="str">
        <f t="shared" si="1"/>
        <v>Anxious in social situations</v>
      </c>
      <c r="I44">
        <f t="shared" si="2"/>
        <v>2</v>
      </c>
      <c r="J44">
        <v>1</v>
      </c>
      <c r="L44" t="s">
        <v>590</v>
      </c>
      <c r="O44" s="30" t="s">
        <v>504</v>
      </c>
      <c r="P44" s="2" t="s">
        <v>483</v>
      </c>
      <c r="Q44" s="2" t="s">
        <v>484</v>
      </c>
    </row>
    <row r="45" spans="1:21" ht="55.5" customHeight="1">
      <c r="A45" s="2">
        <v>44</v>
      </c>
      <c r="B45" s="3" t="s">
        <v>589</v>
      </c>
      <c r="C45" s="3"/>
      <c r="D45" s="2"/>
      <c r="E45" s="2">
        <v>2</v>
      </c>
      <c r="F45" s="2"/>
      <c r="G45" s="2" t="str">
        <f t="shared" si="0"/>
        <v>Obsessive-Compulsive</v>
      </c>
      <c r="H45" s="2" t="str">
        <f t="shared" si="1"/>
        <v>Compelled to do or think things</v>
      </c>
      <c r="I45">
        <f t="shared" si="2"/>
        <v>2</v>
      </c>
      <c r="J45">
        <v>1</v>
      </c>
      <c r="L45" t="s">
        <v>591</v>
      </c>
      <c r="O45" s="30" t="s">
        <v>516</v>
      </c>
      <c r="P45" s="2" t="s">
        <v>483</v>
      </c>
      <c r="Q45" s="2" t="s">
        <v>484</v>
      </c>
    </row>
    <row r="46" spans="1:21" ht="48" customHeight="1">
      <c r="A46" s="2">
        <v>45</v>
      </c>
      <c r="B46" s="3" t="s">
        <v>592</v>
      </c>
      <c r="C46" s="3"/>
      <c r="D46" s="2"/>
      <c r="E46" s="2">
        <v>2</v>
      </c>
      <c r="F46" s="2"/>
      <c r="G46" s="2" t="str">
        <f t="shared" si="0"/>
        <v>Separation Anxiety</v>
      </c>
      <c r="H46" s="2" t="str">
        <f t="shared" si="1"/>
        <v>Anxious away from home</v>
      </c>
      <c r="I46">
        <f t="shared" si="2"/>
        <v>2</v>
      </c>
      <c r="J46">
        <v>2</v>
      </c>
      <c r="L46" t="s">
        <v>593</v>
      </c>
      <c r="O46" s="30" t="s">
        <v>541</v>
      </c>
      <c r="P46" s="2" t="s">
        <v>483</v>
      </c>
      <c r="Q46" s="2" t="s">
        <v>484</v>
      </c>
    </row>
    <row r="47" spans="1:21" ht="45.75">
      <c r="A47" s="2">
        <v>46</v>
      </c>
      <c r="B47" s="3" t="s">
        <v>594</v>
      </c>
      <c r="C47" s="3"/>
      <c r="D47" s="2"/>
      <c r="E47" s="2"/>
      <c r="F47" s="2">
        <v>3</v>
      </c>
      <c r="G47" s="2" t="str">
        <f t="shared" si="0"/>
        <v>Separation Anxiety</v>
      </c>
      <c r="H47" s="2" t="str">
        <f t="shared" si="1"/>
        <v>Anxious away from home</v>
      </c>
      <c r="I47">
        <f t="shared" si="2"/>
        <v>3</v>
      </c>
      <c r="J47">
        <v>2</v>
      </c>
      <c r="L47" t="s">
        <v>595</v>
      </c>
      <c r="O47" s="30" t="s">
        <v>544</v>
      </c>
      <c r="P47" s="2" t="s">
        <v>483</v>
      </c>
      <c r="Q47" s="2" t="s">
        <v>484</v>
      </c>
    </row>
    <row r="48" spans="1:21" ht="78.75" customHeight="1">
      <c r="A48" s="2">
        <v>47</v>
      </c>
      <c r="B48" s="3" t="s">
        <v>581</v>
      </c>
      <c r="C48" s="3"/>
      <c r="D48" s="2"/>
      <c r="E48" s="2"/>
      <c r="F48" s="2">
        <v>3</v>
      </c>
      <c r="G48" s="2" t="str">
        <f t="shared" si="0"/>
        <v>Major Depression</v>
      </c>
      <c r="H48" s="2" t="str">
        <f t="shared" si="1"/>
        <v>Low mood</v>
      </c>
      <c r="I48">
        <f t="shared" si="2"/>
        <v>3</v>
      </c>
      <c r="J48">
        <v>2</v>
      </c>
      <c r="L48" t="s">
        <v>596</v>
      </c>
      <c r="O48" s="30" t="s">
        <v>575</v>
      </c>
      <c r="P48" s="2" t="s">
        <v>483</v>
      </c>
      <c r="Q48" s="2" t="s">
        <v>484</v>
      </c>
    </row>
    <row r="49" spans="12:17">
      <c r="L49" t="s">
        <v>597</v>
      </c>
      <c r="O49" s="30" t="s">
        <v>592</v>
      </c>
      <c r="P49" s="2" t="s">
        <v>483</v>
      </c>
      <c r="Q49" s="2" t="s">
        <v>484</v>
      </c>
    </row>
    <row r="50" spans="12:17" ht="30">
      <c r="L50" t="s">
        <v>598</v>
      </c>
      <c r="O50" s="30" t="s">
        <v>594</v>
      </c>
      <c r="P50" s="2" t="s">
        <v>483</v>
      </c>
      <c r="Q50" s="2" t="s">
        <v>484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AC950-19CF-452A-AAE0-ED04A0DD3190}">
  <dimension ref="A1:AC50"/>
  <sheetViews>
    <sheetView topLeftCell="A3" workbookViewId="0">
      <selection activeCell="U4" sqref="U4"/>
    </sheetView>
  </sheetViews>
  <sheetFormatPr defaultRowHeight="15"/>
  <cols>
    <col min="2" max="2" width="45.140625" customWidth="1"/>
    <col min="3" max="3" width="10.5703125" customWidth="1"/>
    <col min="4" max="4" width="17.42578125" customWidth="1"/>
    <col min="5" max="5" width="12.140625" customWidth="1"/>
    <col min="6" max="6" width="19.28515625" customWidth="1"/>
    <col min="7" max="8" width="28.42578125" customWidth="1"/>
    <col min="12" max="12" width="25.140625" customWidth="1"/>
    <col min="13" max="14" width="9.140625" hidden="1" customWidth="1"/>
    <col min="15" max="15" width="40.140625" style="29" customWidth="1"/>
    <col min="16" max="16" width="27.5703125" customWidth="1"/>
    <col min="17" max="17" width="33.140625" customWidth="1"/>
    <col min="21" max="21" width="33.42578125" style="29" customWidth="1"/>
    <col min="22" max="22" width="12.85546875" bestFit="1" customWidth="1"/>
    <col min="23" max="23" width="33" customWidth="1"/>
    <col min="24" max="24" width="25.28515625" bestFit="1" customWidth="1"/>
    <col min="25" max="25" width="21.5703125" bestFit="1" customWidth="1"/>
    <col min="26" max="26" width="12.85546875" bestFit="1" customWidth="1"/>
    <col min="27" max="27" width="14.5703125" bestFit="1" customWidth="1"/>
    <col min="28" max="28" width="14.28515625" bestFit="1" customWidth="1"/>
    <col min="29" max="29" width="11.28515625" bestFit="1" customWidth="1"/>
    <col min="30" max="30" width="15.140625" bestFit="1" customWidth="1"/>
    <col min="31" max="31" width="13.85546875" bestFit="1" customWidth="1"/>
    <col min="32" max="32" width="10.5703125" bestFit="1" customWidth="1"/>
    <col min="34" max="34" width="12.140625" bestFit="1" customWidth="1"/>
    <col min="35" max="35" width="11.28515625" bestFit="1" customWidth="1"/>
  </cols>
  <sheetData>
    <row r="1" spans="1:29">
      <c r="A1" s="39" t="s">
        <v>491</v>
      </c>
      <c r="B1" s="39"/>
      <c r="C1" s="40" t="s">
        <v>355</v>
      </c>
      <c r="D1" s="40" t="s">
        <v>492</v>
      </c>
      <c r="E1" s="40" t="s">
        <v>357</v>
      </c>
      <c r="F1" s="40" t="s">
        <v>493</v>
      </c>
      <c r="G1" s="39" t="s">
        <v>363</v>
      </c>
      <c r="H1" s="189" t="s">
        <v>477</v>
      </c>
      <c r="I1" s="190" t="s">
        <v>337</v>
      </c>
      <c r="J1" s="190" t="s">
        <v>494</v>
      </c>
    </row>
    <row r="2" spans="1:29" ht="45" customHeight="1">
      <c r="A2" s="2">
        <v>1</v>
      </c>
      <c r="B2" s="72" t="s">
        <v>495</v>
      </c>
      <c r="C2" s="2"/>
      <c r="D2" s="2">
        <v>1</v>
      </c>
      <c r="E2" s="2"/>
      <c r="F2" s="2"/>
      <c r="G2" s="2" t="str">
        <f t="shared" ref="G2:G48" si="0">VLOOKUP(B2,QuestionariesRCADS,2,)</f>
        <v>Generalized Anxiety</v>
      </c>
      <c r="H2" s="2" t="str">
        <f t="shared" ref="H2:H48" si="1">VLOOKUP(B2,Questions_group,3,)</f>
        <v>Anxious generally</v>
      </c>
      <c r="I2">
        <f>SUM(C2:F2)</f>
        <v>1</v>
      </c>
      <c r="J2">
        <v>0</v>
      </c>
    </row>
    <row r="3" spans="1:29" ht="30" customHeight="1">
      <c r="A3" s="2">
        <v>2</v>
      </c>
      <c r="B3" s="3" t="s">
        <v>496</v>
      </c>
      <c r="C3" s="3"/>
      <c r="D3" s="2">
        <v>1</v>
      </c>
      <c r="E3" s="2"/>
      <c r="F3" s="2"/>
      <c r="G3" s="2" t="str">
        <f t="shared" si="0"/>
        <v>Major Depression</v>
      </c>
      <c r="H3" s="2" t="str">
        <f t="shared" si="1"/>
        <v>Low mood</v>
      </c>
      <c r="I3">
        <f t="shared" ref="I3:I48" si="2">SUM(C3:F3)</f>
        <v>1</v>
      </c>
      <c r="J3">
        <v>0</v>
      </c>
    </row>
    <row r="4" spans="1:29" ht="90.75" customHeight="1">
      <c r="A4" s="2">
        <v>3</v>
      </c>
      <c r="B4" s="3" t="s">
        <v>497</v>
      </c>
      <c r="C4" s="3"/>
      <c r="D4" s="2">
        <v>1</v>
      </c>
      <c r="E4" s="2"/>
      <c r="F4" s="2"/>
      <c r="G4" s="2" t="str">
        <f t="shared" si="0"/>
        <v>Panic Disorder</v>
      </c>
      <c r="H4" s="2" t="str">
        <f t="shared" si="1"/>
        <v>Panic</v>
      </c>
      <c r="I4">
        <f t="shared" si="2"/>
        <v>1</v>
      </c>
      <c r="J4">
        <v>0</v>
      </c>
      <c r="L4" t="s">
        <v>498</v>
      </c>
      <c r="O4" s="30" t="s">
        <v>495</v>
      </c>
      <c r="P4" s="2" t="s">
        <v>478</v>
      </c>
      <c r="Q4" s="2" t="s">
        <v>479</v>
      </c>
      <c r="Y4" s="47" t="s">
        <v>431</v>
      </c>
      <c r="Z4" s="2" t="s">
        <v>499</v>
      </c>
      <c r="AA4" s="2" t="s">
        <v>500</v>
      </c>
    </row>
    <row r="5" spans="1:29" ht="65.25" customHeight="1">
      <c r="A5" s="2">
        <v>4</v>
      </c>
      <c r="B5" s="3" t="s">
        <v>501</v>
      </c>
      <c r="C5" s="3"/>
      <c r="D5" s="2">
        <v>1</v>
      </c>
      <c r="E5" s="2"/>
      <c r="F5" s="2"/>
      <c r="G5" s="2" t="str">
        <f t="shared" si="0"/>
        <v>Social Phobia</v>
      </c>
      <c r="H5" s="2" t="str">
        <f t="shared" si="1"/>
        <v>Anxious in social situations</v>
      </c>
      <c r="I5">
        <f t="shared" si="2"/>
        <v>1</v>
      </c>
      <c r="J5">
        <v>0</v>
      </c>
      <c r="L5" t="s">
        <v>502</v>
      </c>
      <c r="O5" s="30" t="s">
        <v>503</v>
      </c>
      <c r="P5" s="2" t="s">
        <v>478</v>
      </c>
      <c r="Q5" s="2" t="s">
        <v>479</v>
      </c>
      <c r="Y5" s="48" t="s">
        <v>478</v>
      </c>
      <c r="Z5" s="2">
        <v>12</v>
      </c>
      <c r="AA5" s="2">
        <v>13</v>
      </c>
      <c r="AB5">
        <f>SUM(Z5:AA5)/2</f>
        <v>12.5</v>
      </c>
    </row>
    <row r="6" spans="1:29" ht="15" customHeight="1">
      <c r="A6" s="2">
        <v>5</v>
      </c>
      <c r="B6" s="3" t="s">
        <v>504</v>
      </c>
      <c r="C6" s="3"/>
      <c r="D6" s="2">
        <v>1</v>
      </c>
      <c r="E6" s="2"/>
      <c r="F6" s="2"/>
      <c r="G6" s="2" t="str">
        <f t="shared" si="0"/>
        <v>Separation Anxiety</v>
      </c>
      <c r="H6" s="2" t="str">
        <f t="shared" si="1"/>
        <v>Anxious away from home</v>
      </c>
      <c r="I6">
        <f t="shared" si="2"/>
        <v>1</v>
      </c>
      <c r="J6">
        <v>0</v>
      </c>
      <c r="L6" t="s">
        <v>505</v>
      </c>
      <c r="O6" s="30" t="s">
        <v>506</v>
      </c>
      <c r="P6" s="2" t="s">
        <v>478</v>
      </c>
      <c r="Q6" s="2" t="s">
        <v>479</v>
      </c>
      <c r="U6" s="73" t="s">
        <v>431</v>
      </c>
      <c r="V6" s="2" t="s">
        <v>499</v>
      </c>
      <c r="Y6" s="48" t="s">
        <v>481</v>
      </c>
      <c r="Z6" s="2">
        <v>15</v>
      </c>
      <c r="AA6" s="2">
        <v>19</v>
      </c>
      <c r="AB6">
        <f t="shared" ref="AB6:AB12" si="3">SUM(Z6:AA6)/2</f>
        <v>17</v>
      </c>
    </row>
    <row r="7" spans="1:29" ht="15" customHeight="1">
      <c r="A7" s="2">
        <v>6</v>
      </c>
      <c r="B7" s="3" t="s">
        <v>507</v>
      </c>
      <c r="C7" s="3"/>
      <c r="D7" s="2">
        <v>1</v>
      </c>
      <c r="E7" s="2"/>
      <c r="F7" s="2"/>
      <c r="G7" s="2" t="str">
        <f t="shared" si="0"/>
        <v>Major Depression</v>
      </c>
      <c r="H7" s="2" t="str">
        <f t="shared" si="1"/>
        <v>Low mood</v>
      </c>
      <c r="I7">
        <f t="shared" si="2"/>
        <v>1</v>
      </c>
      <c r="J7">
        <v>0</v>
      </c>
      <c r="L7" t="s">
        <v>508</v>
      </c>
      <c r="O7" s="30" t="s">
        <v>509</v>
      </c>
      <c r="P7" s="2" t="s">
        <v>478</v>
      </c>
      <c r="Q7" s="2" t="s">
        <v>479</v>
      </c>
      <c r="U7" s="74" t="s">
        <v>478</v>
      </c>
      <c r="V7" s="2">
        <v>12</v>
      </c>
      <c r="W7" s="2" t="s">
        <v>479</v>
      </c>
      <c r="Y7" s="48" t="s">
        <v>485</v>
      </c>
      <c r="Z7" s="2">
        <v>14</v>
      </c>
      <c r="AA7" s="2">
        <v>9</v>
      </c>
      <c r="AB7">
        <f t="shared" si="3"/>
        <v>11.5</v>
      </c>
    </row>
    <row r="8" spans="1:29" ht="15" customHeight="1">
      <c r="A8" s="2">
        <v>7</v>
      </c>
      <c r="B8" s="3" t="s">
        <v>510</v>
      </c>
      <c r="C8" s="3"/>
      <c r="D8" s="2">
        <v>1</v>
      </c>
      <c r="E8" s="2"/>
      <c r="F8" s="2"/>
      <c r="G8" s="2" t="str">
        <f t="shared" si="0"/>
        <v>Social Phobia</v>
      </c>
      <c r="H8" s="2" t="str">
        <f t="shared" si="1"/>
        <v>Anxious in social situations</v>
      </c>
      <c r="I8">
        <f t="shared" si="2"/>
        <v>1</v>
      </c>
      <c r="J8">
        <v>0</v>
      </c>
      <c r="L8" t="s">
        <v>511</v>
      </c>
      <c r="O8" s="30" t="s">
        <v>512</v>
      </c>
      <c r="P8" s="2" t="s">
        <v>478</v>
      </c>
      <c r="Q8" s="2" t="s">
        <v>479</v>
      </c>
      <c r="U8" s="74" t="s">
        <v>481</v>
      </c>
      <c r="V8" s="2">
        <v>15</v>
      </c>
      <c r="W8" s="2" t="s">
        <v>482</v>
      </c>
      <c r="Y8" s="48" t="s">
        <v>487</v>
      </c>
      <c r="Z8" s="2">
        <v>20</v>
      </c>
      <c r="AA8" s="2">
        <v>19</v>
      </c>
      <c r="AB8">
        <f t="shared" si="3"/>
        <v>19.5</v>
      </c>
    </row>
    <row r="9" spans="1:29" s="29" customFormat="1" ht="15" customHeight="1">
      <c r="A9" s="2">
        <v>8</v>
      </c>
      <c r="B9" s="3" t="s">
        <v>513</v>
      </c>
      <c r="C9" s="3"/>
      <c r="D9" s="30">
        <v>1</v>
      </c>
      <c r="E9" s="30"/>
      <c r="F9" s="30"/>
      <c r="G9" s="2" t="str">
        <f t="shared" si="0"/>
        <v>Social Phobia</v>
      </c>
      <c r="H9" s="2" t="str">
        <f t="shared" si="1"/>
        <v>Anxious in social situations</v>
      </c>
      <c r="I9">
        <f t="shared" si="2"/>
        <v>1</v>
      </c>
      <c r="J9">
        <v>0</v>
      </c>
      <c r="L9" s="29" t="s">
        <v>514</v>
      </c>
      <c r="O9" s="30" t="s">
        <v>515</v>
      </c>
      <c r="P9" s="2" t="s">
        <v>478</v>
      </c>
      <c r="Q9" s="2" t="s">
        <v>479</v>
      </c>
      <c r="R9"/>
      <c r="U9" s="74" t="s">
        <v>485</v>
      </c>
      <c r="V9" s="2">
        <v>14</v>
      </c>
      <c r="W9" s="2" t="s">
        <v>486</v>
      </c>
      <c r="X9"/>
      <c r="Y9" s="48" t="s">
        <v>483</v>
      </c>
      <c r="Z9" s="2">
        <v>12</v>
      </c>
      <c r="AA9" s="2">
        <v>11</v>
      </c>
      <c r="AB9">
        <f t="shared" si="3"/>
        <v>11.5</v>
      </c>
      <c r="AC9"/>
    </row>
    <row r="10" spans="1:29" ht="15" customHeight="1">
      <c r="A10" s="2">
        <v>9</v>
      </c>
      <c r="B10" s="3" t="s">
        <v>516</v>
      </c>
      <c r="C10" s="3"/>
      <c r="D10" s="2">
        <v>1</v>
      </c>
      <c r="E10" s="2"/>
      <c r="F10" s="2"/>
      <c r="G10" s="2" t="str">
        <f t="shared" si="0"/>
        <v>Separation Anxiety</v>
      </c>
      <c r="H10" s="2" t="str">
        <f t="shared" si="1"/>
        <v>Anxious away from home</v>
      </c>
      <c r="I10">
        <f t="shared" si="2"/>
        <v>1</v>
      </c>
      <c r="J10">
        <v>0</v>
      </c>
      <c r="L10" t="s">
        <v>517</v>
      </c>
      <c r="O10" s="30" t="s">
        <v>497</v>
      </c>
      <c r="P10" s="2" t="s">
        <v>487</v>
      </c>
      <c r="Q10" s="2" t="s">
        <v>488</v>
      </c>
      <c r="U10" s="74" t="s">
        <v>487</v>
      </c>
      <c r="V10" s="2">
        <v>20</v>
      </c>
      <c r="W10" t="s">
        <v>488</v>
      </c>
      <c r="Y10" s="48" t="s">
        <v>489</v>
      </c>
      <c r="Z10" s="2">
        <v>17</v>
      </c>
      <c r="AA10" s="2">
        <v>11</v>
      </c>
      <c r="AB10">
        <f t="shared" si="3"/>
        <v>14</v>
      </c>
    </row>
    <row r="11" spans="1:29" ht="15" customHeight="1">
      <c r="A11" s="2">
        <v>10</v>
      </c>
      <c r="B11" s="3" t="s">
        <v>518</v>
      </c>
      <c r="C11" s="3"/>
      <c r="D11" s="2">
        <v>1</v>
      </c>
      <c r="E11" s="2"/>
      <c r="F11" s="2"/>
      <c r="G11" s="2" t="str">
        <f t="shared" si="0"/>
        <v>Obsessive-Compulsive</v>
      </c>
      <c r="H11" s="2" t="str">
        <f t="shared" si="1"/>
        <v>Compelled to do or think things</v>
      </c>
      <c r="I11">
        <f t="shared" si="2"/>
        <v>1</v>
      </c>
      <c r="J11">
        <v>0</v>
      </c>
      <c r="L11" t="s">
        <v>519</v>
      </c>
      <c r="O11" s="28" t="s">
        <v>520</v>
      </c>
      <c r="P11" s="2" t="s">
        <v>487</v>
      </c>
      <c r="Q11" s="2" t="s">
        <v>488</v>
      </c>
      <c r="U11" s="74" t="s">
        <v>483</v>
      </c>
      <c r="V11" s="2">
        <v>12</v>
      </c>
      <c r="W11" s="2" t="s">
        <v>484</v>
      </c>
      <c r="Y11" s="48" t="s">
        <v>346</v>
      </c>
      <c r="Z11" s="2"/>
      <c r="AA11" s="2"/>
      <c r="AB11">
        <f t="shared" si="3"/>
        <v>0</v>
      </c>
    </row>
    <row r="12" spans="1:29" ht="45.75">
      <c r="A12" s="2">
        <v>11</v>
      </c>
      <c r="B12" s="3" t="s">
        <v>521</v>
      </c>
      <c r="C12" s="3"/>
      <c r="D12" s="2">
        <v>1</v>
      </c>
      <c r="E12" s="2"/>
      <c r="F12" s="2"/>
      <c r="G12" s="2" t="str">
        <f t="shared" si="0"/>
        <v>Major Depression</v>
      </c>
      <c r="H12" s="2" t="str">
        <f t="shared" si="1"/>
        <v>Low mood</v>
      </c>
      <c r="I12">
        <f t="shared" si="2"/>
        <v>1</v>
      </c>
      <c r="J12">
        <v>0</v>
      </c>
      <c r="L12" t="s">
        <v>522</v>
      </c>
      <c r="O12" s="30" t="s">
        <v>523</v>
      </c>
      <c r="P12" s="2" t="s">
        <v>487</v>
      </c>
      <c r="Q12" s="2" t="s">
        <v>488</v>
      </c>
      <c r="U12" s="74" t="s">
        <v>489</v>
      </c>
      <c r="V12" s="2">
        <v>17</v>
      </c>
      <c r="W12" s="2" t="s">
        <v>490</v>
      </c>
      <c r="Y12" s="74" t="s">
        <v>524</v>
      </c>
      <c r="Z12" s="2">
        <v>90</v>
      </c>
      <c r="AA12" s="2">
        <v>82</v>
      </c>
      <c r="AB12">
        <f t="shared" si="3"/>
        <v>86</v>
      </c>
    </row>
    <row r="13" spans="1:29" ht="15" customHeight="1">
      <c r="A13" s="2">
        <v>12</v>
      </c>
      <c r="B13" s="3" t="s">
        <v>525</v>
      </c>
      <c r="C13" s="3"/>
      <c r="D13" s="2">
        <v>1</v>
      </c>
      <c r="E13" s="2"/>
      <c r="F13" s="2"/>
      <c r="G13" s="2" t="str">
        <f t="shared" si="0"/>
        <v>Social Phobia</v>
      </c>
      <c r="H13" s="2" t="str">
        <f t="shared" si="1"/>
        <v>Anxious in social situations</v>
      </c>
      <c r="I13">
        <f t="shared" si="2"/>
        <v>1</v>
      </c>
      <c r="J13">
        <v>0</v>
      </c>
      <c r="L13" t="s">
        <v>526</v>
      </c>
      <c r="O13" s="30" t="s">
        <v>527</v>
      </c>
      <c r="P13" s="2" t="s">
        <v>487</v>
      </c>
      <c r="Q13" s="2" t="s">
        <v>488</v>
      </c>
      <c r="U13" s="74" t="s">
        <v>346</v>
      </c>
      <c r="V13" s="2"/>
      <c r="Y13" s="45" t="s">
        <v>528</v>
      </c>
      <c r="Z13" s="39"/>
      <c r="AA13" s="39"/>
      <c r="AB13" s="39">
        <f>SUM(AB5,AB7:AB10)</f>
        <v>69</v>
      </c>
    </row>
    <row r="14" spans="1:29" ht="30.75">
      <c r="A14" s="2">
        <v>13</v>
      </c>
      <c r="B14" s="3" t="s">
        <v>503</v>
      </c>
      <c r="C14" s="3"/>
      <c r="D14" s="2">
        <v>1</v>
      </c>
      <c r="E14" s="2"/>
      <c r="F14" s="2"/>
      <c r="G14" s="2" t="str">
        <f t="shared" si="0"/>
        <v>Generalized Anxiety</v>
      </c>
      <c r="H14" s="2" t="str">
        <f t="shared" si="1"/>
        <v>Anxious generally</v>
      </c>
      <c r="I14">
        <f t="shared" si="2"/>
        <v>1</v>
      </c>
      <c r="J14">
        <v>3</v>
      </c>
      <c r="L14" t="s">
        <v>529</v>
      </c>
      <c r="O14" s="30" t="s">
        <v>530</v>
      </c>
      <c r="P14" s="2" t="s">
        <v>487</v>
      </c>
      <c r="Q14" s="2" t="s">
        <v>488</v>
      </c>
      <c r="U14" s="74" t="s">
        <v>524</v>
      </c>
      <c r="V14" s="2">
        <v>90</v>
      </c>
    </row>
    <row r="15" spans="1:29" ht="41.25" customHeight="1">
      <c r="A15" s="2">
        <v>14</v>
      </c>
      <c r="B15" s="3" t="s">
        <v>520</v>
      </c>
      <c r="C15" s="3"/>
      <c r="D15" s="2">
        <v>1</v>
      </c>
      <c r="E15" s="2"/>
      <c r="F15" s="2"/>
      <c r="G15" s="2" t="str">
        <f t="shared" si="0"/>
        <v>Panic Disorder</v>
      </c>
      <c r="H15" s="2" t="str">
        <f t="shared" si="1"/>
        <v>Panic</v>
      </c>
      <c r="I15">
        <f t="shared" si="2"/>
        <v>1</v>
      </c>
      <c r="J15">
        <v>3</v>
      </c>
      <c r="L15" t="s">
        <v>531</v>
      </c>
      <c r="O15" s="30" t="s">
        <v>532</v>
      </c>
      <c r="P15" s="2" t="s">
        <v>487</v>
      </c>
      <c r="Q15" s="2" t="s">
        <v>488</v>
      </c>
      <c r="U15" s="45" t="s">
        <v>528</v>
      </c>
      <c r="V15" s="39">
        <f>SUM(V7,V9:V12)</f>
        <v>75</v>
      </c>
    </row>
    <row r="16" spans="1:29" ht="30" customHeight="1">
      <c r="A16" s="2">
        <v>15</v>
      </c>
      <c r="B16" s="3" t="s">
        <v>533</v>
      </c>
      <c r="C16" s="3"/>
      <c r="D16" s="2">
        <v>1</v>
      </c>
      <c r="E16" s="2"/>
      <c r="F16" s="2"/>
      <c r="G16" s="2" t="str">
        <f t="shared" si="0"/>
        <v>Major Depression</v>
      </c>
      <c r="H16" s="2" t="str">
        <f t="shared" si="1"/>
        <v>Low mood</v>
      </c>
      <c r="I16">
        <f t="shared" si="2"/>
        <v>1</v>
      </c>
      <c r="J16">
        <v>3</v>
      </c>
      <c r="L16" t="s">
        <v>534</v>
      </c>
      <c r="O16" s="30" t="s">
        <v>535</v>
      </c>
      <c r="P16" s="2" t="s">
        <v>487</v>
      </c>
      <c r="Q16" s="2" t="s">
        <v>488</v>
      </c>
    </row>
    <row r="17" spans="1:17" ht="55.5" customHeight="1">
      <c r="A17" s="2">
        <v>16</v>
      </c>
      <c r="B17" s="3" t="s">
        <v>536</v>
      </c>
      <c r="C17" s="3"/>
      <c r="D17" s="2"/>
      <c r="E17" s="2">
        <v>2</v>
      </c>
      <c r="F17" s="2"/>
      <c r="G17" s="2" t="str">
        <f t="shared" si="0"/>
        <v>Obsessive-Compulsive</v>
      </c>
      <c r="H17" s="2" t="str">
        <f t="shared" si="1"/>
        <v>Compelled to do or think things</v>
      </c>
      <c r="I17">
        <f t="shared" si="2"/>
        <v>2</v>
      </c>
      <c r="J17">
        <v>3</v>
      </c>
      <c r="L17" t="s">
        <v>537</v>
      </c>
      <c r="O17" s="30" t="s">
        <v>538</v>
      </c>
      <c r="P17" s="2" t="s">
        <v>487</v>
      </c>
      <c r="Q17" s="2" t="s">
        <v>488</v>
      </c>
    </row>
    <row r="18" spans="1:17" ht="48.75" customHeight="1">
      <c r="A18" s="2">
        <v>17</v>
      </c>
      <c r="B18" s="3" t="s">
        <v>541</v>
      </c>
      <c r="C18" s="3"/>
      <c r="D18" s="2"/>
      <c r="E18" s="2">
        <v>2</v>
      </c>
      <c r="F18" s="2"/>
      <c r="G18" s="2" t="str">
        <f t="shared" si="0"/>
        <v>Separation Anxiety</v>
      </c>
      <c r="H18" s="2" t="str">
        <f t="shared" si="1"/>
        <v>Anxious away from home</v>
      </c>
      <c r="I18">
        <f t="shared" si="2"/>
        <v>2</v>
      </c>
      <c r="J18">
        <v>3</v>
      </c>
      <c r="L18" t="s">
        <v>542</v>
      </c>
      <c r="O18" s="30" t="s">
        <v>543</v>
      </c>
      <c r="P18" s="2" t="s">
        <v>487</v>
      </c>
      <c r="Q18" s="2" t="s">
        <v>488</v>
      </c>
    </row>
    <row r="19" spans="1:17" ht="30">
      <c r="A19" s="2">
        <v>18</v>
      </c>
      <c r="B19" s="3" t="s">
        <v>544</v>
      </c>
      <c r="C19" s="3"/>
      <c r="D19" s="2"/>
      <c r="E19" s="2">
        <v>2</v>
      </c>
      <c r="F19" s="2"/>
      <c r="G19" s="2" t="str">
        <f t="shared" si="0"/>
        <v>Separation Anxiety</v>
      </c>
      <c r="H19" s="2" t="str">
        <f t="shared" si="1"/>
        <v>Anxious away from home</v>
      </c>
      <c r="I19">
        <f t="shared" si="2"/>
        <v>2</v>
      </c>
      <c r="J19">
        <v>3</v>
      </c>
      <c r="L19" t="s">
        <v>545</v>
      </c>
      <c r="O19" s="30" t="s">
        <v>501</v>
      </c>
      <c r="P19" s="2" t="s">
        <v>489</v>
      </c>
      <c r="Q19" s="2" t="s">
        <v>490</v>
      </c>
    </row>
    <row r="20" spans="1:17">
      <c r="A20" s="2">
        <v>19</v>
      </c>
      <c r="B20" s="3" t="s">
        <v>546</v>
      </c>
      <c r="C20" s="3"/>
      <c r="D20" s="2"/>
      <c r="E20" s="2">
        <v>2</v>
      </c>
      <c r="F20" s="2"/>
      <c r="G20" s="2" t="str">
        <f t="shared" si="0"/>
        <v>Major Depression</v>
      </c>
      <c r="H20" s="2" t="str">
        <f t="shared" si="1"/>
        <v>Low mood</v>
      </c>
      <c r="I20">
        <f t="shared" si="2"/>
        <v>2</v>
      </c>
      <c r="J20">
        <v>3</v>
      </c>
      <c r="L20" t="s">
        <v>547</v>
      </c>
      <c r="O20" s="30" t="s">
        <v>510</v>
      </c>
      <c r="P20" s="2" t="s">
        <v>489</v>
      </c>
      <c r="Q20" s="2" t="s">
        <v>490</v>
      </c>
    </row>
    <row r="21" spans="1:17" ht="60" customHeight="1">
      <c r="A21" s="2">
        <v>20</v>
      </c>
      <c r="B21" s="3" t="s">
        <v>548</v>
      </c>
      <c r="C21" s="3"/>
      <c r="D21" s="2"/>
      <c r="E21" s="2">
        <v>2</v>
      </c>
      <c r="F21" s="2"/>
      <c r="G21" s="2" t="str">
        <f t="shared" si="0"/>
        <v>Social Phobia</v>
      </c>
      <c r="H21" s="2" t="str">
        <f t="shared" si="1"/>
        <v>Anxious in social situations</v>
      </c>
      <c r="I21">
        <f t="shared" si="2"/>
        <v>2</v>
      </c>
      <c r="J21">
        <v>3</v>
      </c>
      <c r="L21" t="s">
        <v>549</v>
      </c>
      <c r="O21" s="30" t="s">
        <v>513</v>
      </c>
      <c r="P21" s="2" t="s">
        <v>489</v>
      </c>
      <c r="Q21" s="2" t="s">
        <v>490</v>
      </c>
    </row>
    <row r="22" spans="1:17" ht="30" customHeight="1">
      <c r="A22" s="2">
        <v>21</v>
      </c>
      <c r="B22" s="3" t="s">
        <v>550</v>
      </c>
      <c r="C22" s="3"/>
      <c r="D22" s="2"/>
      <c r="E22" s="2">
        <v>2</v>
      </c>
      <c r="F22" s="2"/>
      <c r="G22" s="2" t="str">
        <f t="shared" si="0"/>
        <v>Major Depression</v>
      </c>
      <c r="H22" s="2" t="str">
        <f t="shared" si="1"/>
        <v>Low mood</v>
      </c>
      <c r="I22">
        <f t="shared" si="2"/>
        <v>2</v>
      </c>
      <c r="J22">
        <v>3</v>
      </c>
      <c r="L22" t="s">
        <v>551</v>
      </c>
      <c r="O22" s="30" t="s">
        <v>525</v>
      </c>
      <c r="P22" s="2" t="s">
        <v>489</v>
      </c>
      <c r="Q22" s="2" t="s">
        <v>490</v>
      </c>
    </row>
    <row r="23" spans="1:17" ht="105" customHeight="1">
      <c r="A23" s="2">
        <v>22</v>
      </c>
      <c r="B23" s="3" t="s">
        <v>506</v>
      </c>
      <c r="C23" s="3"/>
      <c r="D23" s="2"/>
      <c r="E23" s="2">
        <v>2</v>
      </c>
      <c r="F23" s="2"/>
      <c r="G23" s="2" t="str">
        <f t="shared" si="0"/>
        <v>Generalized Anxiety</v>
      </c>
      <c r="H23" s="2" t="str">
        <f t="shared" si="1"/>
        <v>Anxious generally</v>
      </c>
      <c r="I23">
        <f t="shared" si="2"/>
        <v>2</v>
      </c>
      <c r="J23">
        <v>3</v>
      </c>
      <c r="L23" t="s">
        <v>552</v>
      </c>
      <c r="O23" s="30" t="s">
        <v>548</v>
      </c>
      <c r="P23" s="2" t="s">
        <v>489</v>
      </c>
      <c r="Q23" s="2" t="s">
        <v>490</v>
      </c>
    </row>
    <row r="24" spans="1:17" ht="120" customHeight="1">
      <c r="A24" s="2">
        <v>23</v>
      </c>
      <c r="B24" s="3" t="s">
        <v>553</v>
      </c>
      <c r="C24" s="3"/>
      <c r="D24" s="2"/>
      <c r="E24" s="2">
        <v>2</v>
      </c>
      <c r="F24" s="2"/>
      <c r="G24" s="2" t="str">
        <f t="shared" si="0"/>
        <v>Obsessive-Compulsive</v>
      </c>
      <c r="H24" s="2" t="str">
        <f t="shared" si="1"/>
        <v>Compelled to do or think things</v>
      </c>
      <c r="I24">
        <f t="shared" si="2"/>
        <v>2</v>
      </c>
      <c r="J24">
        <v>3</v>
      </c>
      <c r="L24" t="s">
        <v>554</v>
      </c>
      <c r="O24" s="30" t="s">
        <v>555</v>
      </c>
      <c r="P24" s="2" t="s">
        <v>489</v>
      </c>
      <c r="Q24" s="2" t="s">
        <v>490</v>
      </c>
    </row>
    <row r="25" spans="1:17" ht="120" customHeight="1">
      <c r="A25" s="2">
        <v>24</v>
      </c>
      <c r="B25" s="3" t="s">
        <v>523</v>
      </c>
      <c r="C25" s="3"/>
      <c r="D25" s="2"/>
      <c r="E25" s="2">
        <v>2</v>
      </c>
      <c r="F25" s="2"/>
      <c r="G25" s="2" t="str">
        <f t="shared" si="0"/>
        <v>Panic Disorder</v>
      </c>
      <c r="H25" s="2" t="str">
        <f t="shared" si="1"/>
        <v>Panic</v>
      </c>
      <c r="I25">
        <f t="shared" si="2"/>
        <v>2</v>
      </c>
      <c r="J25">
        <v>3</v>
      </c>
      <c r="L25" t="s">
        <v>556</v>
      </c>
      <c r="O25" s="30" t="s">
        <v>557</v>
      </c>
      <c r="P25" s="2" t="s">
        <v>489</v>
      </c>
      <c r="Q25" s="2" t="s">
        <v>490</v>
      </c>
    </row>
    <row r="26" spans="1:17" ht="45" customHeight="1">
      <c r="A26" s="2">
        <v>25</v>
      </c>
      <c r="B26" s="3" t="s">
        <v>560</v>
      </c>
      <c r="C26" s="3"/>
      <c r="D26" s="2"/>
      <c r="E26" s="2">
        <v>2</v>
      </c>
      <c r="F26" s="2"/>
      <c r="G26" s="2" t="str">
        <f t="shared" si="0"/>
        <v>Major Depression</v>
      </c>
      <c r="H26" s="2" t="str">
        <f t="shared" si="1"/>
        <v>Low mood</v>
      </c>
      <c r="I26">
        <f t="shared" si="2"/>
        <v>2</v>
      </c>
      <c r="J26">
        <v>3</v>
      </c>
      <c r="L26" t="s">
        <v>561</v>
      </c>
      <c r="O26" s="30" t="s">
        <v>562</v>
      </c>
      <c r="P26" s="2" t="s">
        <v>489</v>
      </c>
      <c r="Q26" s="2" t="s">
        <v>490</v>
      </c>
    </row>
    <row r="27" spans="1:17" ht="135" customHeight="1">
      <c r="A27" s="2">
        <v>26</v>
      </c>
      <c r="B27" s="3" t="s">
        <v>527</v>
      </c>
      <c r="C27" s="3"/>
      <c r="D27" s="2"/>
      <c r="E27" s="2">
        <v>2</v>
      </c>
      <c r="F27" s="2"/>
      <c r="G27" s="2" t="str">
        <f t="shared" si="0"/>
        <v>Panic Disorder</v>
      </c>
      <c r="H27" s="2" t="str">
        <f t="shared" si="1"/>
        <v>Panic</v>
      </c>
      <c r="I27">
        <f t="shared" si="2"/>
        <v>2</v>
      </c>
      <c r="J27">
        <v>3</v>
      </c>
      <c r="L27" t="s">
        <v>565</v>
      </c>
      <c r="O27" s="30" t="s">
        <v>566</v>
      </c>
      <c r="P27" s="2" t="s">
        <v>489</v>
      </c>
      <c r="Q27" s="2" t="s">
        <v>490</v>
      </c>
    </row>
    <row r="28" spans="1:17" ht="87.75" customHeight="1">
      <c r="A28" s="2">
        <v>27</v>
      </c>
      <c r="B28" s="3" t="s">
        <v>509</v>
      </c>
      <c r="C28" s="3"/>
      <c r="D28" s="2"/>
      <c r="E28" s="2">
        <v>2</v>
      </c>
      <c r="F28" s="2"/>
      <c r="G28" s="2" t="str">
        <f t="shared" si="0"/>
        <v>Generalized Anxiety</v>
      </c>
      <c r="H28" s="2" t="str">
        <f t="shared" si="1"/>
        <v>Anxious generally</v>
      </c>
      <c r="I28">
        <f t="shared" si="2"/>
        <v>2</v>
      </c>
      <c r="J28">
        <v>3</v>
      </c>
      <c r="L28" t="s">
        <v>567</v>
      </c>
      <c r="O28" s="30" t="s">
        <v>496</v>
      </c>
      <c r="P28" s="2" t="s">
        <v>481</v>
      </c>
      <c r="Q28" s="2" t="s">
        <v>482</v>
      </c>
    </row>
    <row r="29" spans="1:17" ht="55.5" customHeight="1">
      <c r="A29" s="2">
        <v>28</v>
      </c>
      <c r="B29" s="3" t="s">
        <v>530</v>
      </c>
      <c r="C29" s="3"/>
      <c r="D29" s="2"/>
      <c r="E29" s="2">
        <v>2</v>
      </c>
      <c r="F29" s="2"/>
      <c r="G29" s="2" t="str">
        <f t="shared" si="0"/>
        <v>Panic Disorder</v>
      </c>
      <c r="H29" s="2" t="str">
        <f t="shared" si="1"/>
        <v>Panic</v>
      </c>
      <c r="I29">
        <f t="shared" si="2"/>
        <v>2</v>
      </c>
      <c r="J29">
        <v>3</v>
      </c>
      <c r="L29" t="s">
        <v>568</v>
      </c>
      <c r="O29" s="30" t="s">
        <v>507</v>
      </c>
      <c r="P29" s="2" t="s">
        <v>481</v>
      </c>
      <c r="Q29" s="2" t="s">
        <v>482</v>
      </c>
    </row>
    <row r="30" spans="1:17" ht="27.75" customHeight="1">
      <c r="A30" s="2">
        <v>29</v>
      </c>
      <c r="B30" s="3" t="s">
        <v>569</v>
      </c>
      <c r="C30" s="3"/>
      <c r="D30" s="2"/>
      <c r="E30" s="2">
        <v>2</v>
      </c>
      <c r="F30" s="2"/>
      <c r="G30" s="2" t="str">
        <f t="shared" si="0"/>
        <v>Major Depression</v>
      </c>
      <c r="H30" s="2" t="str">
        <f t="shared" si="1"/>
        <v>Low mood</v>
      </c>
      <c r="I30">
        <f t="shared" si="2"/>
        <v>2</v>
      </c>
      <c r="J30">
        <v>3</v>
      </c>
      <c r="L30" t="s">
        <v>570</v>
      </c>
      <c r="O30" s="30" t="s">
        <v>521</v>
      </c>
      <c r="P30" s="2" t="s">
        <v>481</v>
      </c>
      <c r="Q30" s="2" t="s">
        <v>482</v>
      </c>
    </row>
    <row r="31" spans="1:17" ht="36" customHeight="1">
      <c r="A31" s="2">
        <v>30</v>
      </c>
      <c r="B31" s="3" t="s">
        <v>555</v>
      </c>
      <c r="C31" s="3"/>
      <c r="D31" s="2"/>
      <c r="E31" s="2">
        <v>2</v>
      </c>
      <c r="F31" s="2"/>
      <c r="G31" s="2" t="str">
        <f t="shared" si="0"/>
        <v>Social Phobia</v>
      </c>
      <c r="H31" s="2" t="str">
        <f t="shared" si="1"/>
        <v>Anxious in social situations</v>
      </c>
      <c r="I31">
        <f t="shared" si="2"/>
        <v>2</v>
      </c>
      <c r="J31">
        <v>3</v>
      </c>
      <c r="L31" t="s">
        <v>571</v>
      </c>
      <c r="O31" s="30" t="s">
        <v>533</v>
      </c>
      <c r="P31" s="2" t="s">
        <v>481</v>
      </c>
      <c r="Q31" s="2" t="s">
        <v>482</v>
      </c>
    </row>
    <row r="32" spans="1:17" ht="67.5" customHeight="1">
      <c r="A32" s="2">
        <v>31</v>
      </c>
      <c r="B32" s="3" t="s">
        <v>572</v>
      </c>
      <c r="C32" s="3"/>
      <c r="D32" s="2"/>
      <c r="E32" s="2"/>
      <c r="F32" s="2">
        <v>3</v>
      </c>
      <c r="G32" s="2" t="str">
        <f t="shared" si="0"/>
        <v>Obsessive-Compulsive</v>
      </c>
      <c r="H32" s="2" t="str">
        <f t="shared" si="1"/>
        <v>Compelled to do or think things</v>
      </c>
      <c r="I32">
        <f t="shared" si="2"/>
        <v>3</v>
      </c>
      <c r="J32">
        <v>1</v>
      </c>
      <c r="L32" t="s">
        <v>573</v>
      </c>
      <c r="O32" s="30" t="s">
        <v>546</v>
      </c>
      <c r="P32" s="2" t="s">
        <v>481</v>
      </c>
      <c r="Q32" s="2" t="s">
        <v>482</v>
      </c>
    </row>
    <row r="33" spans="1:17" ht="30">
      <c r="A33" s="2">
        <v>32</v>
      </c>
      <c r="B33" s="3" t="s">
        <v>557</v>
      </c>
      <c r="C33" s="3"/>
      <c r="D33" s="2"/>
      <c r="E33" s="2"/>
      <c r="F33" s="2">
        <v>3</v>
      </c>
      <c r="G33" s="2" t="str">
        <f t="shared" si="0"/>
        <v>Social Phobia</v>
      </c>
      <c r="H33" s="2" t="str">
        <f t="shared" si="1"/>
        <v>Anxious in social situations</v>
      </c>
      <c r="I33">
        <f t="shared" si="2"/>
        <v>3</v>
      </c>
      <c r="J33">
        <v>2</v>
      </c>
      <c r="L33" t="s">
        <v>574</v>
      </c>
      <c r="O33" s="30" t="s">
        <v>550</v>
      </c>
      <c r="P33" s="2" t="s">
        <v>481</v>
      </c>
      <c r="Q33" s="2" t="s">
        <v>482</v>
      </c>
    </row>
    <row r="34" spans="1:17" ht="45">
      <c r="A34" s="2">
        <v>33</v>
      </c>
      <c r="B34" s="3" t="s">
        <v>575</v>
      </c>
      <c r="C34" s="3"/>
      <c r="D34" s="2"/>
      <c r="E34" s="2"/>
      <c r="F34" s="2">
        <v>3</v>
      </c>
      <c r="G34" s="2" t="str">
        <f t="shared" si="0"/>
        <v>Separation Anxiety</v>
      </c>
      <c r="H34" s="2" t="str">
        <f t="shared" si="1"/>
        <v>Anxious away from home</v>
      </c>
      <c r="I34">
        <f t="shared" si="2"/>
        <v>3</v>
      </c>
      <c r="J34">
        <v>1</v>
      </c>
      <c r="L34" t="s">
        <v>576</v>
      </c>
      <c r="O34" s="30" t="s">
        <v>560</v>
      </c>
      <c r="P34" s="2" t="s">
        <v>481</v>
      </c>
      <c r="Q34" s="2" t="s">
        <v>482</v>
      </c>
    </row>
    <row r="35" spans="1:17" ht="30">
      <c r="A35" s="2">
        <v>34</v>
      </c>
      <c r="B35" s="3" t="s">
        <v>532</v>
      </c>
      <c r="C35" s="3"/>
      <c r="D35" s="2"/>
      <c r="E35" s="2"/>
      <c r="F35" s="2">
        <v>3</v>
      </c>
      <c r="G35" s="2" t="str">
        <f t="shared" si="0"/>
        <v>Panic Disorder</v>
      </c>
      <c r="H35" s="2" t="str">
        <f t="shared" si="1"/>
        <v>Panic</v>
      </c>
      <c r="I35">
        <f t="shared" si="2"/>
        <v>3</v>
      </c>
      <c r="J35">
        <v>2</v>
      </c>
      <c r="L35" t="s">
        <v>577</v>
      </c>
      <c r="O35" s="30" t="s">
        <v>569</v>
      </c>
      <c r="P35" s="2" t="s">
        <v>481</v>
      </c>
      <c r="Q35" s="2" t="s">
        <v>482</v>
      </c>
    </row>
    <row r="36" spans="1:17" ht="30">
      <c r="A36" s="2">
        <v>35</v>
      </c>
      <c r="B36" s="3" t="s">
        <v>512</v>
      </c>
      <c r="C36" s="3"/>
      <c r="D36" s="2"/>
      <c r="E36" s="2"/>
      <c r="F36" s="2">
        <v>3</v>
      </c>
      <c r="G36" s="2" t="str">
        <f t="shared" si="0"/>
        <v>Generalized Anxiety</v>
      </c>
      <c r="H36" s="2" t="str">
        <f t="shared" si="1"/>
        <v>Anxious generally</v>
      </c>
      <c r="I36">
        <f t="shared" si="2"/>
        <v>3</v>
      </c>
      <c r="J36">
        <v>2</v>
      </c>
      <c r="L36" t="s">
        <v>578</v>
      </c>
      <c r="O36" s="30" t="s">
        <v>579</v>
      </c>
      <c r="P36" s="2" t="s">
        <v>481</v>
      </c>
      <c r="Q36" s="2" t="s">
        <v>482</v>
      </c>
    </row>
    <row r="37" spans="1:17" ht="30">
      <c r="A37" s="2">
        <v>36</v>
      </c>
      <c r="B37" s="3" t="s">
        <v>535</v>
      </c>
      <c r="C37" s="3"/>
      <c r="D37" s="2"/>
      <c r="E37" s="2"/>
      <c r="F37" s="2">
        <v>3</v>
      </c>
      <c r="G37" s="2" t="str">
        <f t="shared" si="0"/>
        <v>Panic Disorder</v>
      </c>
      <c r="H37" s="2" t="str">
        <f t="shared" si="1"/>
        <v>Panic</v>
      </c>
      <c r="I37">
        <f t="shared" si="2"/>
        <v>3</v>
      </c>
      <c r="J37">
        <v>2</v>
      </c>
      <c r="L37" t="s">
        <v>580</v>
      </c>
      <c r="O37" s="30" t="s">
        <v>581</v>
      </c>
      <c r="P37" s="2" t="s">
        <v>481</v>
      </c>
      <c r="Q37" s="2" t="s">
        <v>482</v>
      </c>
    </row>
    <row r="38" spans="1:17" ht="30">
      <c r="A38" s="2">
        <v>37</v>
      </c>
      <c r="B38" s="3" t="s">
        <v>515</v>
      </c>
      <c r="C38" s="3"/>
      <c r="D38" s="2"/>
      <c r="E38" s="2"/>
      <c r="F38" s="2">
        <v>3</v>
      </c>
      <c r="G38" s="2" t="str">
        <f t="shared" si="0"/>
        <v>Generalized Anxiety</v>
      </c>
      <c r="H38" s="2" t="str">
        <f t="shared" si="1"/>
        <v>Anxious generally</v>
      </c>
      <c r="I38">
        <f t="shared" si="2"/>
        <v>3</v>
      </c>
      <c r="J38">
        <v>2</v>
      </c>
      <c r="L38" t="s">
        <v>582</v>
      </c>
      <c r="O38" s="30" t="s">
        <v>518</v>
      </c>
      <c r="P38" s="2" t="s">
        <v>485</v>
      </c>
      <c r="Q38" s="2" t="s">
        <v>486</v>
      </c>
    </row>
    <row r="39" spans="1:17" ht="43.5" customHeight="1">
      <c r="A39" s="2">
        <v>38</v>
      </c>
      <c r="B39" s="3" t="s">
        <v>562</v>
      </c>
      <c r="C39" s="3"/>
      <c r="D39" s="2"/>
      <c r="E39" s="2"/>
      <c r="F39" s="2">
        <v>3</v>
      </c>
      <c r="G39" s="2" t="str">
        <f t="shared" si="0"/>
        <v>Social Phobia</v>
      </c>
      <c r="H39" s="2" t="str">
        <f t="shared" si="1"/>
        <v>Anxious in social situations</v>
      </c>
      <c r="I39">
        <f t="shared" si="2"/>
        <v>3</v>
      </c>
      <c r="J39">
        <v>2</v>
      </c>
      <c r="L39" t="s">
        <v>583</v>
      </c>
      <c r="O39" s="30" t="s">
        <v>536</v>
      </c>
      <c r="P39" s="2" t="s">
        <v>485</v>
      </c>
      <c r="Q39" s="2" t="s">
        <v>486</v>
      </c>
    </row>
    <row r="40" spans="1:17" ht="45" customHeight="1">
      <c r="A40" s="2">
        <v>39</v>
      </c>
      <c r="B40" s="3" t="s">
        <v>538</v>
      </c>
      <c r="C40" s="3"/>
      <c r="D40" s="2"/>
      <c r="E40" s="2"/>
      <c r="F40" s="2">
        <v>3</v>
      </c>
      <c r="G40" s="2" t="str">
        <f t="shared" si="0"/>
        <v>Panic Disorder</v>
      </c>
      <c r="H40" s="2" t="str">
        <f t="shared" si="1"/>
        <v>Panic</v>
      </c>
      <c r="I40">
        <f t="shared" si="2"/>
        <v>3</v>
      </c>
      <c r="J40">
        <v>2</v>
      </c>
      <c r="L40" t="s">
        <v>584</v>
      </c>
      <c r="O40" s="3" t="s">
        <v>553</v>
      </c>
      <c r="P40" s="2" t="s">
        <v>485</v>
      </c>
      <c r="Q40" s="2" t="s">
        <v>486</v>
      </c>
    </row>
    <row r="41" spans="1:17" ht="45">
      <c r="A41" s="2">
        <v>40</v>
      </c>
      <c r="B41" s="3" t="s">
        <v>579</v>
      </c>
      <c r="C41" s="3"/>
      <c r="D41" s="2"/>
      <c r="E41" s="2"/>
      <c r="F41" s="2">
        <v>3</v>
      </c>
      <c r="G41" s="2" t="str">
        <f t="shared" si="0"/>
        <v>Major Depression</v>
      </c>
      <c r="H41" s="2" t="str">
        <f t="shared" si="1"/>
        <v>Low mood</v>
      </c>
      <c r="I41">
        <f t="shared" si="2"/>
        <v>3</v>
      </c>
      <c r="J41">
        <v>2</v>
      </c>
      <c r="L41" t="s">
        <v>585</v>
      </c>
      <c r="O41" s="30" t="s">
        <v>572</v>
      </c>
      <c r="P41" s="2" t="s">
        <v>485</v>
      </c>
      <c r="Q41" s="2" t="s">
        <v>486</v>
      </c>
    </row>
    <row r="42" spans="1:17" ht="57" customHeight="1">
      <c r="A42" s="2">
        <v>41</v>
      </c>
      <c r="B42" s="3" t="s">
        <v>543</v>
      </c>
      <c r="C42" s="3"/>
      <c r="D42" s="2"/>
      <c r="E42" s="2"/>
      <c r="F42" s="2">
        <v>3</v>
      </c>
      <c r="G42" s="2" t="str">
        <f t="shared" si="0"/>
        <v>Panic Disorder</v>
      </c>
      <c r="H42" s="2" t="str">
        <f t="shared" si="1"/>
        <v>Panic</v>
      </c>
      <c r="I42">
        <f t="shared" si="2"/>
        <v>3</v>
      </c>
      <c r="J42">
        <v>1</v>
      </c>
      <c r="L42" t="s">
        <v>586</v>
      </c>
      <c r="O42" s="3" t="s">
        <v>587</v>
      </c>
      <c r="P42" s="2" t="s">
        <v>485</v>
      </c>
      <c r="Q42" s="2" t="s">
        <v>486</v>
      </c>
    </row>
    <row r="43" spans="1:17" ht="79.5" customHeight="1">
      <c r="A43" s="2">
        <v>42</v>
      </c>
      <c r="B43" s="3" t="s">
        <v>587</v>
      </c>
      <c r="C43" s="3"/>
      <c r="D43" s="2"/>
      <c r="E43" s="2"/>
      <c r="F43" s="2">
        <v>3</v>
      </c>
      <c r="G43" s="2" t="str">
        <f t="shared" si="0"/>
        <v>Obsessive-Compulsive</v>
      </c>
      <c r="H43" s="2" t="str">
        <f t="shared" si="1"/>
        <v>Compelled to do or think things</v>
      </c>
      <c r="I43">
        <f t="shared" si="2"/>
        <v>3</v>
      </c>
      <c r="J43">
        <v>1</v>
      </c>
      <c r="L43" t="s">
        <v>588</v>
      </c>
      <c r="O43" s="30" t="s">
        <v>589</v>
      </c>
      <c r="P43" s="2" t="s">
        <v>485</v>
      </c>
      <c r="Q43" s="2" t="s">
        <v>486</v>
      </c>
    </row>
    <row r="44" spans="1:17" ht="68.25" customHeight="1">
      <c r="A44" s="2">
        <v>43</v>
      </c>
      <c r="B44" s="3" t="s">
        <v>566</v>
      </c>
      <c r="C44" s="3"/>
      <c r="D44" s="2"/>
      <c r="E44" s="2"/>
      <c r="F44" s="2">
        <v>3</v>
      </c>
      <c r="G44" s="2" t="str">
        <f t="shared" si="0"/>
        <v>Social Phobia</v>
      </c>
      <c r="H44" s="2" t="str">
        <f t="shared" si="1"/>
        <v>Anxious in social situations</v>
      </c>
      <c r="I44">
        <f t="shared" si="2"/>
        <v>3</v>
      </c>
      <c r="J44">
        <v>1</v>
      </c>
      <c r="L44" t="s">
        <v>590</v>
      </c>
      <c r="O44" s="30" t="s">
        <v>504</v>
      </c>
      <c r="P44" s="2" t="s">
        <v>483</v>
      </c>
      <c r="Q44" s="2" t="s">
        <v>484</v>
      </c>
    </row>
    <row r="45" spans="1:17" ht="55.5" customHeight="1">
      <c r="A45" s="2">
        <v>44</v>
      </c>
      <c r="B45" s="3" t="s">
        <v>589</v>
      </c>
      <c r="C45" s="3"/>
      <c r="D45" s="2"/>
      <c r="E45" s="2"/>
      <c r="F45" s="2">
        <v>3</v>
      </c>
      <c r="G45" s="2" t="str">
        <f t="shared" si="0"/>
        <v>Obsessive-Compulsive</v>
      </c>
      <c r="H45" s="2" t="str">
        <f t="shared" si="1"/>
        <v>Compelled to do or think things</v>
      </c>
      <c r="I45">
        <f t="shared" si="2"/>
        <v>3</v>
      </c>
      <c r="J45">
        <v>1</v>
      </c>
      <c r="L45" t="s">
        <v>591</v>
      </c>
      <c r="O45" s="30" t="s">
        <v>516</v>
      </c>
      <c r="P45" s="2" t="s">
        <v>483</v>
      </c>
      <c r="Q45" s="2" t="s">
        <v>484</v>
      </c>
    </row>
    <row r="46" spans="1:17" ht="48" customHeight="1">
      <c r="A46" s="2">
        <v>45</v>
      </c>
      <c r="B46" s="3" t="s">
        <v>592</v>
      </c>
      <c r="C46" s="3"/>
      <c r="D46" s="2"/>
      <c r="E46" s="2"/>
      <c r="F46" s="2">
        <v>3</v>
      </c>
      <c r="G46" s="2" t="str">
        <f t="shared" si="0"/>
        <v>Separation Anxiety</v>
      </c>
      <c r="H46" s="2" t="str">
        <f t="shared" si="1"/>
        <v>Anxious away from home</v>
      </c>
      <c r="I46">
        <f t="shared" si="2"/>
        <v>3</v>
      </c>
      <c r="J46">
        <v>2</v>
      </c>
      <c r="L46" t="s">
        <v>593</v>
      </c>
      <c r="O46" s="30" t="s">
        <v>541</v>
      </c>
      <c r="P46" s="2" t="s">
        <v>483</v>
      </c>
      <c r="Q46" s="2" t="s">
        <v>484</v>
      </c>
    </row>
    <row r="47" spans="1:17" ht="45.75">
      <c r="A47" s="2">
        <v>46</v>
      </c>
      <c r="B47" s="3" t="s">
        <v>594</v>
      </c>
      <c r="C47" s="3">
        <v>0</v>
      </c>
      <c r="D47" s="2"/>
      <c r="E47" s="2"/>
      <c r="F47" s="2"/>
      <c r="G47" s="2" t="str">
        <f t="shared" si="0"/>
        <v>Separation Anxiety</v>
      </c>
      <c r="H47" s="2" t="str">
        <f t="shared" si="1"/>
        <v>Anxious away from home</v>
      </c>
      <c r="I47">
        <f t="shared" si="2"/>
        <v>0</v>
      </c>
      <c r="J47">
        <v>2</v>
      </c>
      <c r="L47" t="s">
        <v>595</v>
      </c>
      <c r="O47" s="30" t="s">
        <v>544</v>
      </c>
      <c r="P47" s="2" t="s">
        <v>483</v>
      </c>
      <c r="Q47" s="2" t="s">
        <v>484</v>
      </c>
    </row>
    <row r="48" spans="1:17" ht="78.75" customHeight="1">
      <c r="A48" s="2">
        <v>47</v>
      </c>
      <c r="B48" s="3" t="s">
        <v>581</v>
      </c>
      <c r="C48" s="3">
        <v>0</v>
      </c>
      <c r="D48" s="2"/>
      <c r="E48" s="2"/>
      <c r="F48" s="2"/>
      <c r="G48" s="2" t="str">
        <f t="shared" si="0"/>
        <v>Major Depression</v>
      </c>
      <c r="H48" s="2" t="str">
        <f t="shared" si="1"/>
        <v>Low mood</v>
      </c>
      <c r="I48">
        <f t="shared" si="2"/>
        <v>0</v>
      </c>
      <c r="J48">
        <v>2</v>
      </c>
      <c r="L48" t="s">
        <v>596</v>
      </c>
      <c r="O48" s="30" t="s">
        <v>575</v>
      </c>
      <c r="P48" s="2" t="s">
        <v>483</v>
      </c>
      <c r="Q48" s="2" t="s">
        <v>484</v>
      </c>
    </row>
    <row r="49" spans="12:17">
      <c r="L49" t="s">
        <v>597</v>
      </c>
      <c r="O49" s="30" t="s">
        <v>592</v>
      </c>
      <c r="P49" s="2" t="s">
        <v>483</v>
      </c>
      <c r="Q49" s="2" t="s">
        <v>484</v>
      </c>
    </row>
    <row r="50" spans="12:17" ht="30">
      <c r="L50" t="s">
        <v>598</v>
      </c>
      <c r="O50" s="30" t="s">
        <v>594</v>
      </c>
      <c r="P50" s="2" t="s">
        <v>483</v>
      </c>
      <c r="Q50" s="2" t="s">
        <v>484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B9396-7BC7-4C2F-B706-35A3D2A208AB}">
  <dimension ref="A1:B36"/>
  <sheetViews>
    <sheetView workbookViewId="0">
      <selection activeCell="L9" sqref="L9"/>
    </sheetView>
  </sheetViews>
  <sheetFormatPr defaultRowHeight="15"/>
  <sheetData>
    <row r="1" spans="1:2">
      <c r="A1" t="s">
        <v>337</v>
      </c>
      <c r="B1" t="s">
        <v>363</v>
      </c>
    </row>
    <row r="2" spans="1:2">
      <c r="A2">
        <v>4</v>
      </c>
      <c r="B2" t="s">
        <v>599</v>
      </c>
    </row>
    <row r="3" spans="1:2">
      <c r="A3">
        <v>4</v>
      </c>
      <c r="B3" t="s">
        <v>599</v>
      </c>
    </row>
    <row r="4" spans="1:2">
      <c r="A4">
        <v>5</v>
      </c>
      <c r="B4" t="s">
        <v>599</v>
      </c>
    </row>
    <row r="5" spans="1:2">
      <c r="A5">
        <v>3</v>
      </c>
      <c r="B5" t="s">
        <v>600</v>
      </c>
    </row>
    <row r="6" spans="1:2">
      <c r="A6">
        <v>2</v>
      </c>
      <c r="B6" t="s">
        <v>600</v>
      </c>
    </row>
    <row r="7" spans="1:2">
      <c r="A7">
        <v>4</v>
      </c>
      <c r="B7" t="s">
        <v>600</v>
      </c>
    </row>
    <row r="8" spans="1:2">
      <c r="A8">
        <v>3</v>
      </c>
      <c r="B8" t="s">
        <v>600</v>
      </c>
    </row>
    <row r="9" spans="1:2">
      <c r="A9">
        <v>4</v>
      </c>
      <c r="B9" t="s">
        <v>601</v>
      </c>
    </row>
    <row r="10" spans="1:2">
      <c r="A10">
        <v>4</v>
      </c>
      <c r="B10" t="s">
        <v>601</v>
      </c>
    </row>
    <row r="11" spans="1:2">
      <c r="A11">
        <v>3</v>
      </c>
      <c r="B11" t="s">
        <v>601</v>
      </c>
    </row>
    <row r="12" spans="1:2">
      <c r="A12">
        <v>3</v>
      </c>
      <c r="B12" t="s">
        <v>601</v>
      </c>
    </row>
    <row r="13" spans="1:2">
      <c r="A13">
        <v>1</v>
      </c>
      <c r="B13" t="s">
        <v>602</v>
      </c>
    </row>
    <row r="14" spans="1:2">
      <c r="A14">
        <v>3</v>
      </c>
      <c r="B14" t="s">
        <v>602</v>
      </c>
    </row>
    <row r="15" spans="1:2">
      <c r="A15">
        <v>3</v>
      </c>
      <c r="B15" t="s">
        <v>602</v>
      </c>
    </row>
    <row r="16" spans="1:2">
      <c r="A16">
        <v>3</v>
      </c>
      <c r="B16" t="s">
        <v>602</v>
      </c>
    </row>
    <row r="17" spans="1:2">
      <c r="A17">
        <v>4</v>
      </c>
      <c r="B17" t="s">
        <v>603</v>
      </c>
    </row>
    <row r="18" spans="1:2">
      <c r="A18">
        <v>3</v>
      </c>
      <c r="B18" t="s">
        <v>603</v>
      </c>
    </row>
    <row r="19" spans="1:2">
      <c r="A19">
        <v>3</v>
      </c>
      <c r="B19" t="s">
        <v>603</v>
      </c>
    </row>
    <row r="20" spans="1:2">
      <c r="A20">
        <v>3</v>
      </c>
      <c r="B20" t="s">
        <v>603</v>
      </c>
    </row>
    <row r="21" spans="1:2">
      <c r="A21">
        <v>1</v>
      </c>
      <c r="B21" t="s">
        <v>603</v>
      </c>
    </row>
    <row r="22" spans="1:2">
      <c r="A22">
        <v>5</v>
      </c>
      <c r="B22" t="s">
        <v>603</v>
      </c>
    </row>
    <row r="23" spans="1:2">
      <c r="A23">
        <v>3</v>
      </c>
      <c r="B23" t="s">
        <v>604</v>
      </c>
    </row>
    <row r="24" spans="1:2">
      <c r="A24">
        <v>3</v>
      </c>
      <c r="B24" t="s">
        <v>604</v>
      </c>
    </row>
    <row r="25" spans="1:2">
      <c r="A25">
        <v>4</v>
      </c>
      <c r="B25" t="s">
        <v>604</v>
      </c>
    </row>
    <row r="26" spans="1:2">
      <c r="A26">
        <v>4</v>
      </c>
      <c r="B26" t="s">
        <v>604</v>
      </c>
    </row>
    <row r="27" spans="1:2">
      <c r="A27">
        <v>4</v>
      </c>
      <c r="B27" t="s">
        <v>604</v>
      </c>
    </row>
    <row r="28" spans="1:2">
      <c r="A28">
        <v>3</v>
      </c>
      <c r="B28" t="s">
        <v>605</v>
      </c>
    </row>
    <row r="29" spans="1:2">
      <c r="A29">
        <v>2</v>
      </c>
      <c r="B29" t="s">
        <v>605</v>
      </c>
    </row>
    <row r="30" spans="1:2">
      <c r="A30">
        <v>4</v>
      </c>
      <c r="B30" t="s">
        <v>605</v>
      </c>
    </row>
    <row r="31" spans="1:2">
      <c r="A31">
        <v>3</v>
      </c>
      <c r="B31" t="s">
        <v>605</v>
      </c>
    </row>
    <row r="32" spans="1:2">
      <c r="A32">
        <v>4</v>
      </c>
      <c r="B32" t="s">
        <v>605</v>
      </c>
    </row>
    <row r="33" spans="1:2">
      <c r="A33">
        <v>3</v>
      </c>
      <c r="B33" t="s">
        <v>606</v>
      </c>
    </row>
    <row r="34" spans="1:2">
      <c r="A34">
        <v>3</v>
      </c>
      <c r="B34" t="s">
        <v>606</v>
      </c>
    </row>
    <row r="35" spans="1:2">
      <c r="A35">
        <v>3</v>
      </c>
      <c r="B35" t="s">
        <v>606</v>
      </c>
    </row>
    <row r="36" spans="1:2">
      <c r="A36">
        <v>4</v>
      </c>
      <c r="B36" t="s">
        <v>606</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F20C2-9754-439A-85B9-B06053BA7D0D}">
  <dimension ref="B2:S39"/>
  <sheetViews>
    <sheetView topLeftCell="I1" workbookViewId="0">
      <selection activeCell="Q23" sqref="Q23"/>
    </sheetView>
  </sheetViews>
  <sheetFormatPr defaultRowHeight="15"/>
  <cols>
    <col min="2" max="2" width="48.140625" style="79" customWidth="1"/>
    <col min="3" max="3" width="16.5703125" customWidth="1"/>
    <col min="4" max="4" width="13.7109375" customWidth="1"/>
    <col min="5" max="5" width="17.5703125" customWidth="1"/>
    <col min="6" max="6" width="14.140625" customWidth="1"/>
    <col min="7" max="7" width="16.7109375" customWidth="1"/>
    <col min="8" max="8" width="9.5703125" customWidth="1"/>
    <col min="9" max="9" width="30.140625" customWidth="1"/>
    <col min="10" max="10" width="13.5703125" customWidth="1"/>
    <col min="12" max="12" width="21.7109375" bestFit="1" customWidth="1"/>
    <col min="13" max="13" width="14.7109375" bestFit="1" customWidth="1"/>
    <col min="14" max="14" width="12.7109375" bestFit="1" customWidth="1"/>
    <col min="15" max="15" width="23.140625" style="5" customWidth="1"/>
    <col min="16" max="16" width="68.85546875" style="29" customWidth="1"/>
    <col min="17" max="17" width="37.5703125" customWidth="1"/>
    <col min="18" max="18" width="40.28515625" customWidth="1"/>
    <col min="19" max="21" width="21.7109375" bestFit="1" customWidth="1"/>
    <col min="22" max="22" width="11.28515625" bestFit="1" customWidth="1"/>
  </cols>
  <sheetData>
    <row r="2" spans="2:19">
      <c r="B2" s="80" t="s">
        <v>81</v>
      </c>
      <c r="C2" s="39" t="s">
        <v>607</v>
      </c>
      <c r="D2" s="39" t="s">
        <v>608</v>
      </c>
      <c r="E2" s="39" t="s">
        <v>609</v>
      </c>
      <c r="F2" s="39" t="s">
        <v>610</v>
      </c>
      <c r="G2" s="39" t="s">
        <v>611</v>
      </c>
      <c r="H2" s="39" t="s">
        <v>337</v>
      </c>
      <c r="I2" s="39" t="s">
        <v>363</v>
      </c>
      <c r="J2" s="81" t="s">
        <v>85</v>
      </c>
    </row>
    <row r="3" spans="2:19">
      <c r="B3" s="53" t="s">
        <v>612</v>
      </c>
      <c r="C3" s="2"/>
      <c r="D3" s="2"/>
      <c r="E3" s="2"/>
      <c r="F3" s="2"/>
      <c r="G3" s="2"/>
      <c r="H3" s="2">
        <v>3</v>
      </c>
      <c r="I3" s="2" t="str">
        <f t="shared" ref="I3:I37" si="0">VLOOKUP(B3,CEBQ_group,2,)</f>
        <v>Enjoyment of food</v>
      </c>
      <c r="J3">
        <f>SUM(GETPIVOTDATA("Group",$L$16,"Group","Desire to drink")*H3/GETPIVOTDATA("Group",$L$16,"Group","Desire to drink"))</f>
        <v>3</v>
      </c>
      <c r="R3" s="53" t="s">
        <v>612</v>
      </c>
      <c r="S3" s="2" t="s">
        <v>602</v>
      </c>
    </row>
    <row r="4" spans="2:19" ht="21.75" customHeight="1">
      <c r="B4" s="53" t="s">
        <v>613</v>
      </c>
      <c r="C4" s="2"/>
      <c r="D4" s="2"/>
      <c r="E4" s="2"/>
      <c r="F4" s="2"/>
      <c r="G4" s="2"/>
      <c r="H4" s="2">
        <v>3</v>
      </c>
      <c r="I4" s="2" t="str">
        <f t="shared" si="0"/>
        <v>Emotional overeating</v>
      </c>
      <c r="J4">
        <f t="shared" ref="J4:J39" si="1">SUM(GETPIVOTDATA("Group",$L$16,"Group","Desire to drink")*H4/GETPIVOTDATA("Group",$L$16,"Group","Desire to drink"))</f>
        <v>3</v>
      </c>
      <c r="R4" s="53" t="s">
        <v>613</v>
      </c>
      <c r="S4" s="2" t="s">
        <v>600</v>
      </c>
    </row>
    <row r="5" spans="2:19">
      <c r="B5" s="76" t="s">
        <v>614</v>
      </c>
      <c r="C5" s="2"/>
      <c r="D5" s="2"/>
      <c r="E5" s="2"/>
      <c r="F5" s="2"/>
      <c r="G5" s="2"/>
      <c r="H5" s="2">
        <v>3</v>
      </c>
      <c r="I5" s="2" t="str">
        <f t="shared" si="0"/>
        <v>Satiety responsiveness</v>
      </c>
      <c r="J5">
        <f t="shared" si="1"/>
        <v>3</v>
      </c>
      <c r="R5" s="53" t="s">
        <v>614</v>
      </c>
      <c r="S5" s="2" t="s">
        <v>605</v>
      </c>
    </row>
    <row r="6" spans="2:19">
      <c r="B6" s="76" t="s">
        <v>615</v>
      </c>
      <c r="C6" s="2"/>
      <c r="D6" s="2"/>
      <c r="E6" s="2"/>
      <c r="F6" s="2"/>
      <c r="G6" s="2"/>
      <c r="H6" s="2">
        <v>3</v>
      </c>
      <c r="I6" s="2" t="str">
        <f t="shared" si="0"/>
        <v>Slowness in eating</v>
      </c>
      <c r="J6">
        <f t="shared" si="1"/>
        <v>3</v>
      </c>
      <c r="R6" s="53" t="s">
        <v>615</v>
      </c>
      <c r="S6" s="2" t="s">
        <v>606</v>
      </c>
    </row>
    <row r="7" spans="2:19">
      <c r="B7" s="53" t="s">
        <v>616</v>
      </c>
      <c r="C7" s="2"/>
      <c r="D7" s="2"/>
      <c r="E7" s="2"/>
      <c r="F7" s="2"/>
      <c r="G7" s="2"/>
      <c r="H7" s="2">
        <v>3</v>
      </c>
      <c r="I7" s="2" t="str">
        <f t="shared" si="0"/>
        <v>Enjoyment of food</v>
      </c>
      <c r="J7">
        <f t="shared" si="1"/>
        <v>3</v>
      </c>
      <c r="R7" s="53" t="s">
        <v>616</v>
      </c>
      <c r="S7" s="2" t="s">
        <v>602</v>
      </c>
    </row>
    <row r="8" spans="2:19">
      <c r="B8" s="53" t="s">
        <v>617</v>
      </c>
      <c r="C8" s="2"/>
      <c r="D8" s="2"/>
      <c r="E8" s="2"/>
      <c r="F8" s="2"/>
      <c r="G8" s="2"/>
      <c r="H8" s="2">
        <v>3</v>
      </c>
      <c r="I8" s="2" t="str">
        <f t="shared" si="0"/>
        <v>Desire to drink</v>
      </c>
      <c r="J8">
        <f t="shared" si="1"/>
        <v>3</v>
      </c>
      <c r="R8" s="53" t="s">
        <v>617</v>
      </c>
      <c r="S8" s="2" t="s">
        <v>599</v>
      </c>
    </row>
    <row r="9" spans="2:19">
      <c r="B9" s="53" t="s">
        <v>618</v>
      </c>
      <c r="C9" s="2"/>
      <c r="D9" s="2"/>
      <c r="E9" s="2"/>
      <c r="F9" s="2"/>
      <c r="G9" s="2"/>
      <c r="H9" s="2">
        <v>3</v>
      </c>
      <c r="I9" s="2" t="str">
        <f t="shared" si="0"/>
        <v>Food fussiness</v>
      </c>
      <c r="J9">
        <f t="shared" si="1"/>
        <v>3</v>
      </c>
      <c r="R9" s="53" t="s">
        <v>618</v>
      </c>
      <c r="S9" s="2" t="s">
        <v>603</v>
      </c>
    </row>
    <row r="10" spans="2:19">
      <c r="B10" s="77" t="s">
        <v>619</v>
      </c>
      <c r="C10" s="2"/>
      <c r="D10" s="2"/>
      <c r="E10" s="2"/>
      <c r="F10" s="2"/>
      <c r="G10" s="2"/>
      <c r="H10" s="2">
        <v>3</v>
      </c>
      <c r="I10" s="2" t="str">
        <f t="shared" si="0"/>
        <v>Slowness in eating</v>
      </c>
      <c r="J10">
        <f t="shared" si="1"/>
        <v>3</v>
      </c>
      <c r="R10" s="77" t="s">
        <v>619</v>
      </c>
      <c r="S10" s="2" t="s">
        <v>606</v>
      </c>
    </row>
    <row r="11" spans="2:19">
      <c r="B11" s="53" t="s">
        <v>620</v>
      </c>
      <c r="C11" s="2"/>
      <c r="D11" s="2"/>
      <c r="E11" s="2"/>
      <c r="F11" s="2"/>
      <c r="G11" s="2"/>
      <c r="H11" s="2">
        <v>3</v>
      </c>
      <c r="I11" s="2" t="str">
        <f t="shared" si="0"/>
        <v>Emotional undereating</v>
      </c>
      <c r="J11">
        <f t="shared" si="1"/>
        <v>3</v>
      </c>
      <c r="R11" s="53" t="s">
        <v>620</v>
      </c>
      <c r="S11" s="2" t="s">
        <v>601</v>
      </c>
    </row>
    <row r="12" spans="2:19">
      <c r="B12" s="76" t="s">
        <v>621</v>
      </c>
      <c r="C12" s="2"/>
      <c r="D12" s="2"/>
      <c r="E12" s="2"/>
      <c r="F12" s="2"/>
      <c r="G12" s="2"/>
      <c r="H12" s="2">
        <v>3</v>
      </c>
      <c r="I12" s="2" t="str">
        <f t="shared" si="0"/>
        <v>Food fussiness</v>
      </c>
      <c r="J12">
        <f t="shared" si="1"/>
        <v>3</v>
      </c>
      <c r="R12" s="53" t="s">
        <v>621</v>
      </c>
      <c r="S12" s="2" t="s">
        <v>603</v>
      </c>
    </row>
    <row r="13" spans="2:19">
      <c r="B13" s="53" t="s">
        <v>622</v>
      </c>
      <c r="C13" s="2"/>
      <c r="D13" s="2"/>
      <c r="E13" s="2"/>
      <c r="F13" s="2"/>
      <c r="G13" s="2"/>
      <c r="H13" s="2">
        <v>3</v>
      </c>
      <c r="I13" s="2" t="str">
        <f t="shared" si="0"/>
        <v>Emotional undereating</v>
      </c>
      <c r="J13">
        <f t="shared" si="1"/>
        <v>3</v>
      </c>
      <c r="R13" s="53" t="s">
        <v>622</v>
      </c>
      <c r="S13" s="2" t="s">
        <v>601</v>
      </c>
    </row>
    <row r="14" spans="2:19">
      <c r="B14" s="53" t="s">
        <v>623</v>
      </c>
      <c r="C14" s="2"/>
      <c r="D14" s="2"/>
      <c r="E14" s="2"/>
      <c r="F14" s="2"/>
      <c r="G14" s="2"/>
      <c r="H14" s="2">
        <v>3</v>
      </c>
      <c r="I14" s="2" t="str">
        <f t="shared" si="0"/>
        <v>Food responsiveness</v>
      </c>
      <c r="J14">
        <f t="shared" si="1"/>
        <v>3</v>
      </c>
      <c r="R14" s="53" t="s">
        <v>623</v>
      </c>
      <c r="S14" s="2" t="s">
        <v>604</v>
      </c>
    </row>
    <row r="15" spans="2:19">
      <c r="B15" s="53" t="s">
        <v>624</v>
      </c>
      <c r="C15" s="2"/>
      <c r="D15" s="2"/>
      <c r="E15" s="2"/>
      <c r="F15" s="2"/>
      <c r="G15" s="2"/>
      <c r="H15" s="2">
        <v>3</v>
      </c>
      <c r="I15" s="2" t="str">
        <f t="shared" si="0"/>
        <v>Emotional overeating</v>
      </c>
      <c r="J15">
        <f t="shared" si="1"/>
        <v>3</v>
      </c>
      <c r="R15" s="53" t="s">
        <v>624</v>
      </c>
      <c r="S15" s="2" t="s">
        <v>600</v>
      </c>
    </row>
    <row r="16" spans="2:19" ht="25.5">
      <c r="B16" s="53" t="s">
        <v>625</v>
      </c>
      <c r="C16" s="2"/>
      <c r="D16" s="2"/>
      <c r="E16" s="2"/>
      <c r="F16" s="2"/>
      <c r="G16" s="2"/>
      <c r="H16" s="2">
        <v>3</v>
      </c>
      <c r="I16" s="2" t="str">
        <f t="shared" si="0"/>
        <v>Food responsiveness</v>
      </c>
      <c r="J16">
        <f t="shared" si="1"/>
        <v>3</v>
      </c>
      <c r="L16" s="47" t="s">
        <v>431</v>
      </c>
      <c r="M16" s="2" t="s">
        <v>626</v>
      </c>
      <c r="N16" s="91" t="s">
        <v>499</v>
      </c>
      <c r="O16" s="84" t="s">
        <v>155</v>
      </c>
      <c r="P16" s="136" t="s">
        <v>369</v>
      </c>
      <c r="Q16" s="83"/>
      <c r="R16" s="82" t="s">
        <v>625</v>
      </c>
      <c r="S16" s="2" t="s">
        <v>604</v>
      </c>
    </row>
    <row r="17" spans="2:19">
      <c r="B17" s="53" t="s">
        <v>627</v>
      </c>
      <c r="C17" s="2"/>
      <c r="D17" s="2"/>
      <c r="E17" s="2"/>
      <c r="F17" s="2"/>
      <c r="G17" s="2"/>
      <c r="H17" s="2">
        <v>3</v>
      </c>
      <c r="I17" s="2" t="str">
        <f t="shared" si="0"/>
        <v>Emotional overeating</v>
      </c>
      <c r="J17">
        <f t="shared" si="1"/>
        <v>3</v>
      </c>
      <c r="L17" s="58" t="s">
        <v>599</v>
      </c>
      <c r="M17" s="2">
        <v>3</v>
      </c>
      <c r="N17" s="2">
        <v>9</v>
      </c>
      <c r="O17" s="85">
        <f>AVERAGE(N17/M17)</f>
        <v>3</v>
      </c>
      <c r="P17" s="45" t="str">
        <f>IF(O17&gt;=2.5,"Most prominent eating behaviour for Desire to Drink","Prominent")</f>
        <v>Most prominent eating behaviour for Desire to Drink</v>
      </c>
      <c r="Q17" s="42"/>
      <c r="R17" s="82" t="s">
        <v>627</v>
      </c>
      <c r="S17" s="2" t="s">
        <v>600</v>
      </c>
    </row>
    <row r="18" spans="2:19">
      <c r="B18" s="76" t="s">
        <v>628</v>
      </c>
      <c r="C18" s="2"/>
      <c r="D18" s="2"/>
      <c r="E18" s="2"/>
      <c r="F18" s="2"/>
      <c r="G18" s="2"/>
      <c r="H18" s="2">
        <v>3</v>
      </c>
      <c r="I18" s="2" t="str">
        <f t="shared" si="0"/>
        <v>Food fussiness</v>
      </c>
      <c r="J18">
        <f t="shared" si="1"/>
        <v>3</v>
      </c>
      <c r="L18" s="58" t="s">
        <v>600</v>
      </c>
      <c r="M18" s="2">
        <v>4</v>
      </c>
      <c r="N18" s="2">
        <v>12</v>
      </c>
      <c r="O18" s="85">
        <f t="shared" ref="O18:O24" si="2">AVERAGE(N18/M18)</f>
        <v>3</v>
      </c>
      <c r="P18" s="45" t="str">
        <f>IF(O18&gt;=2.5,"Most prominent eating behaviour for Emotional overeating","Prominent")</f>
        <v>Most prominent eating behaviour for Emotional overeating</v>
      </c>
      <c r="Q18" s="42"/>
      <c r="R18" s="82" t="s">
        <v>628</v>
      </c>
      <c r="S18" s="2" t="s">
        <v>603</v>
      </c>
    </row>
    <row r="19" spans="2:19" ht="25.5">
      <c r="B19" s="53" t="s">
        <v>629</v>
      </c>
      <c r="C19" s="2"/>
      <c r="D19" s="2"/>
      <c r="E19" s="2"/>
      <c r="F19" s="2"/>
      <c r="G19" s="2"/>
      <c r="H19" s="2">
        <v>3</v>
      </c>
      <c r="I19" s="2" t="str">
        <f t="shared" si="0"/>
        <v>Satiety responsiveness</v>
      </c>
      <c r="J19">
        <f t="shared" si="1"/>
        <v>3</v>
      </c>
      <c r="L19" s="58" t="s">
        <v>601</v>
      </c>
      <c r="M19" s="2">
        <v>4</v>
      </c>
      <c r="N19" s="2">
        <v>12</v>
      </c>
      <c r="O19" s="85">
        <f t="shared" si="2"/>
        <v>3</v>
      </c>
      <c r="P19" s="45" t="str">
        <f>IF(O19&gt;=2.5,"Most prominent behaviour of Emotional undereating","Prominent")</f>
        <v>Most prominent behaviour of Emotional undereating</v>
      </c>
      <c r="Q19" s="42"/>
      <c r="R19" s="82" t="s">
        <v>629</v>
      </c>
      <c r="S19" s="2" t="s">
        <v>605</v>
      </c>
    </row>
    <row r="20" spans="2:19" ht="25.5">
      <c r="B20" s="53" t="s">
        <v>630</v>
      </c>
      <c r="C20" s="2"/>
      <c r="D20" s="2"/>
      <c r="E20" s="2"/>
      <c r="F20" s="2"/>
      <c r="G20" s="2"/>
      <c r="H20" s="2">
        <v>3</v>
      </c>
      <c r="I20" s="2" t="str">
        <f t="shared" si="0"/>
        <v>Slowness in eating</v>
      </c>
      <c r="J20">
        <f t="shared" si="1"/>
        <v>3</v>
      </c>
      <c r="L20" s="58" t="s">
        <v>602</v>
      </c>
      <c r="M20" s="2">
        <v>4</v>
      </c>
      <c r="N20" s="2">
        <v>12</v>
      </c>
      <c r="O20" s="85">
        <f t="shared" si="2"/>
        <v>3</v>
      </c>
      <c r="P20" s="45" t="str">
        <f>IF(O20&gt;=2.5,"Most prominent eating behaviour for Enjoyment Of Food ","Prominent")</f>
        <v xml:space="preserve">Most prominent eating behaviour for Enjoyment Of Food </v>
      </c>
      <c r="Q20" s="42"/>
      <c r="R20" s="82" t="s">
        <v>630</v>
      </c>
      <c r="S20" s="2" t="s">
        <v>606</v>
      </c>
    </row>
    <row r="21" spans="2:19" ht="25.5">
      <c r="B21" s="53" t="s">
        <v>631</v>
      </c>
      <c r="C21" s="2"/>
      <c r="D21" s="2"/>
      <c r="E21" s="2"/>
      <c r="F21" s="2"/>
      <c r="G21" s="2"/>
      <c r="H21" s="2">
        <v>3</v>
      </c>
      <c r="I21" s="2" t="str">
        <f t="shared" si="0"/>
        <v>Food responsiveness</v>
      </c>
      <c r="J21">
        <f t="shared" si="1"/>
        <v>3</v>
      </c>
      <c r="L21" s="58" t="s">
        <v>603</v>
      </c>
      <c r="M21" s="2">
        <v>6</v>
      </c>
      <c r="N21" s="2">
        <v>18</v>
      </c>
      <c r="O21" s="85">
        <f t="shared" si="2"/>
        <v>3</v>
      </c>
      <c r="P21" s="45" t="str">
        <f>IF(O21&gt;=2.5,"Most prominent eating behaviour for Food Fussiness","Prominent")</f>
        <v>Most prominent eating behaviour for Food Fussiness</v>
      </c>
      <c r="Q21" s="42"/>
      <c r="R21" s="82" t="s">
        <v>631</v>
      </c>
      <c r="S21" s="2" t="s">
        <v>604</v>
      </c>
    </row>
    <row r="22" spans="2:19">
      <c r="B22" s="53" t="s">
        <v>632</v>
      </c>
      <c r="C22" s="2"/>
      <c r="D22" s="2"/>
      <c r="E22" s="2"/>
      <c r="F22" s="2"/>
      <c r="G22" s="2"/>
      <c r="H22" s="2">
        <v>3</v>
      </c>
      <c r="I22" s="2" t="str">
        <f t="shared" si="0"/>
        <v>Enjoyment of food</v>
      </c>
      <c r="J22">
        <f t="shared" si="1"/>
        <v>3</v>
      </c>
      <c r="L22" s="58" t="s">
        <v>604</v>
      </c>
      <c r="M22" s="2">
        <v>5</v>
      </c>
      <c r="N22" s="2">
        <v>15</v>
      </c>
      <c r="O22" s="85">
        <f t="shared" si="2"/>
        <v>3</v>
      </c>
      <c r="P22" s="45" t="str">
        <f>IF(O22&gt;=2.5,"Most prominent eating behaviour for Food Responsiveness","Prominent")</f>
        <v>Most prominent eating behaviour for Food Responsiveness</v>
      </c>
      <c r="Q22" s="42"/>
      <c r="R22" s="82" t="s">
        <v>632</v>
      </c>
      <c r="S22" s="2" t="s">
        <v>602</v>
      </c>
    </row>
    <row r="23" spans="2:19" ht="46.5" customHeight="1">
      <c r="B23" s="53" t="s">
        <v>633</v>
      </c>
      <c r="C23" s="2"/>
      <c r="D23" s="2"/>
      <c r="E23" s="2"/>
      <c r="F23" s="2"/>
      <c r="G23" s="2"/>
      <c r="H23" s="2">
        <v>3</v>
      </c>
      <c r="I23" s="2" t="str">
        <f t="shared" si="0"/>
        <v>Satiety responsiveness</v>
      </c>
      <c r="J23">
        <f t="shared" si="1"/>
        <v>3</v>
      </c>
      <c r="L23" s="58" t="s">
        <v>605</v>
      </c>
      <c r="M23" s="2">
        <v>5</v>
      </c>
      <c r="N23" s="2">
        <v>15</v>
      </c>
      <c r="O23" s="85">
        <f t="shared" si="2"/>
        <v>3</v>
      </c>
      <c r="P23" s="45" t="str">
        <f>IF(O23&gt;=2.5,"Most prominent eating behaviour for Satiety Responsiveness","Prominent")</f>
        <v>Most prominent eating behaviour for Satiety Responsiveness</v>
      </c>
      <c r="Q23" s="42"/>
      <c r="R23" s="82" t="s">
        <v>633</v>
      </c>
      <c r="S23" s="2" t="s">
        <v>605</v>
      </c>
    </row>
    <row r="24" spans="2:19">
      <c r="B24" s="53" t="s">
        <v>634</v>
      </c>
      <c r="C24" s="2"/>
      <c r="D24" s="2"/>
      <c r="E24" s="2"/>
      <c r="F24" s="2"/>
      <c r="G24" s="2"/>
      <c r="H24" s="2">
        <v>3</v>
      </c>
      <c r="I24" s="2" t="str">
        <f t="shared" si="0"/>
        <v>Enjoyment of food</v>
      </c>
      <c r="J24">
        <f t="shared" si="1"/>
        <v>3</v>
      </c>
      <c r="L24" s="58" t="s">
        <v>606</v>
      </c>
      <c r="M24" s="2">
        <v>4</v>
      </c>
      <c r="N24" s="2">
        <v>12</v>
      </c>
      <c r="O24" s="85">
        <f t="shared" si="2"/>
        <v>3</v>
      </c>
      <c r="P24" s="45" t="str">
        <f>IF(O24&gt;=2.5,"Most prominent eating behaviour for Slowness In EatingMost prominent","Prominent")</f>
        <v>Most prominent eating behaviour for Slowness In EatingMost prominent</v>
      </c>
      <c r="Q24" s="42"/>
      <c r="R24" s="82" t="s">
        <v>634</v>
      </c>
      <c r="S24" s="2" t="s">
        <v>602</v>
      </c>
    </row>
    <row r="25" spans="2:19">
      <c r="B25" s="53" t="s">
        <v>635</v>
      </c>
      <c r="C25" s="2"/>
      <c r="D25" s="2"/>
      <c r="E25" s="2"/>
      <c r="F25" s="2"/>
      <c r="G25" s="2"/>
      <c r="H25" s="2">
        <v>3</v>
      </c>
      <c r="I25" s="2" t="str">
        <f t="shared" si="0"/>
        <v>Emotional undereating</v>
      </c>
      <c r="J25">
        <f t="shared" si="1"/>
        <v>3</v>
      </c>
      <c r="L25" s="58" t="s">
        <v>346</v>
      </c>
      <c r="M25" s="2"/>
      <c r="N25" s="91"/>
      <c r="O25" s="85"/>
      <c r="P25" s="30"/>
      <c r="R25" s="82" t="s">
        <v>635</v>
      </c>
      <c r="S25" s="2" t="s">
        <v>601</v>
      </c>
    </row>
    <row r="26" spans="2:19">
      <c r="B26" s="53" t="s">
        <v>636</v>
      </c>
      <c r="C26" s="2"/>
      <c r="D26" s="2"/>
      <c r="E26" s="2"/>
      <c r="F26" s="2"/>
      <c r="G26" s="2"/>
      <c r="H26" s="2">
        <v>3</v>
      </c>
      <c r="I26" s="2" t="str">
        <f t="shared" si="0"/>
        <v>Food fussiness</v>
      </c>
      <c r="J26">
        <f t="shared" si="1"/>
        <v>3</v>
      </c>
      <c r="L26" s="48" t="s">
        <v>347</v>
      </c>
      <c r="M26" s="2">
        <v>35</v>
      </c>
      <c r="N26" s="91">
        <v>105</v>
      </c>
      <c r="O26" s="85"/>
      <c r="P26" s="30"/>
      <c r="R26" s="82" t="s">
        <v>636</v>
      </c>
      <c r="S26" s="2" t="s">
        <v>603</v>
      </c>
    </row>
    <row r="27" spans="2:19">
      <c r="B27" s="53" t="s">
        <v>637</v>
      </c>
      <c r="C27" s="2"/>
      <c r="D27" s="2"/>
      <c r="E27" s="2"/>
      <c r="F27" s="2"/>
      <c r="G27" s="2"/>
      <c r="H27" s="2">
        <v>3</v>
      </c>
      <c r="I27" s="2" t="str">
        <f t="shared" si="0"/>
        <v>Emotional undereating</v>
      </c>
      <c r="J27">
        <f t="shared" si="1"/>
        <v>3</v>
      </c>
      <c r="R27" s="53" t="s">
        <v>637</v>
      </c>
      <c r="S27" s="2" t="s">
        <v>601</v>
      </c>
    </row>
    <row r="28" spans="2:19">
      <c r="B28" s="53" t="s">
        <v>638</v>
      </c>
      <c r="C28" s="2"/>
      <c r="D28" s="2"/>
      <c r="E28" s="2"/>
      <c r="F28" s="2"/>
      <c r="G28" s="2"/>
      <c r="H28" s="2">
        <v>3</v>
      </c>
      <c r="I28" s="2" t="str">
        <f t="shared" si="0"/>
        <v>Satiety responsiveness</v>
      </c>
      <c r="J28">
        <f t="shared" si="1"/>
        <v>3</v>
      </c>
      <c r="R28" s="53" t="s">
        <v>638</v>
      </c>
      <c r="S28" s="2" t="s">
        <v>605</v>
      </c>
    </row>
    <row r="29" spans="2:19" ht="25.5">
      <c r="B29" s="53" t="s">
        <v>639</v>
      </c>
      <c r="C29" s="2"/>
      <c r="D29" s="2"/>
      <c r="E29" s="2"/>
      <c r="F29" s="2"/>
      <c r="G29" s="2"/>
      <c r="H29" s="2">
        <v>3</v>
      </c>
      <c r="I29" s="2" t="str">
        <f t="shared" si="0"/>
        <v>Emotional overeating</v>
      </c>
      <c r="J29">
        <f t="shared" si="1"/>
        <v>3</v>
      </c>
      <c r="R29" s="53" t="s">
        <v>639</v>
      </c>
      <c r="S29" s="2" t="s">
        <v>600</v>
      </c>
    </row>
    <row r="30" spans="2:19" ht="25.5">
      <c r="B30" s="53" t="s">
        <v>640</v>
      </c>
      <c r="C30" s="2"/>
      <c r="D30" s="2"/>
      <c r="E30" s="2"/>
      <c r="F30" s="2"/>
      <c r="G30" s="2"/>
      <c r="H30" s="2">
        <v>3</v>
      </c>
      <c r="I30" s="2" t="str">
        <f t="shared" si="0"/>
        <v>Food responsiveness</v>
      </c>
      <c r="J30">
        <f t="shared" si="1"/>
        <v>3</v>
      </c>
      <c r="R30" s="53" t="s">
        <v>640</v>
      </c>
      <c r="S30" s="2" t="s">
        <v>604</v>
      </c>
    </row>
    <row r="31" spans="2:19" ht="25.5">
      <c r="B31" s="53" t="s">
        <v>641</v>
      </c>
      <c r="C31" s="2"/>
      <c r="D31" s="2"/>
      <c r="E31" s="2"/>
      <c r="F31" s="2"/>
      <c r="G31" s="2"/>
      <c r="H31" s="2">
        <v>3</v>
      </c>
      <c r="I31" s="2" t="str">
        <f t="shared" si="0"/>
        <v>Desire to drink</v>
      </c>
      <c r="J31">
        <f t="shared" si="1"/>
        <v>3</v>
      </c>
      <c r="R31" s="53" t="s">
        <v>641</v>
      </c>
      <c r="S31" s="2" t="s">
        <v>599</v>
      </c>
    </row>
    <row r="32" spans="2:19" ht="25.5">
      <c r="B32" s="53" t="s">
        <v>642</v>
      </c>
      <c r="C32" s="2"/>
      <c r="D32" s="2"/>
      <c r="E32" s="2"/>
      <c r="F32" s="2"/>
      <c r="G32" s="2"/>
      <c r="H32" s="2">
        <v>3</v>
      </c>
      <c r="I32" s="2" t="str">
        <f t="shared" si="0"/>
        <v>Satiety responsiveness</v>
      </c>
      <c r="J32">
        <f t="shared" si="1"/>
        <v>3</v>
      </c>
      <c r="R32" s="53" t="s">
        <v>642</v>
      </c>
      <c r="S32" s="2" t="s">
        <v>605</v>
      </c>
    </row>
    <row r="33" spans="2:19" ht="25.5">
      <c r="B33" s="53" t="s">
        <v>643</v>
      </c>
      <c r="C33" s="2"/>
      <c r="D33" s="2"/>
      <c r="E33" s="2"/>
      <c r="F33" s="2"/>
      <c r="G33" s="2"/>
      <c r="H33" s="2">
        <v>3</v>
      </c>
      <c r="I33" s="2" t="str">
        <f t="shared" si="0"/>
        <v>Desire to drink</v>
      </c>
      <c r="J33">
        <f t="shared" si="1"/>
        <v>3</v>
      </c>
      <c r="R33" s="53" t="s">
        <v>643</v>
      </c>
      <c r="S33" s="2" t="s">
        <v>599</v>
      </c>
    </row>
    <row r="34" spans="2:19" ht="25.5">
      <c r="B34" s="76" t="s">
        <v>644</v>
      </c>
      <c r="C34" s="2"/>
      <c r="D34" s="2"/>
      <c r="E34" s="2"/>
      <c r="F34" s="2"/>
      <c r="G34" s="2"/>
      <c r="H34" s="2">
        <v>3</v>
      </c>
      <c r="I34" s="2" t="str">
        <f t="shared" si="0"/>
        <v>Food fussiness</v>
      </c>
      <c r="J34">
        <f t="shared" si="1"/>
        <v>3</v>
      </c>
      <c r="R34" s="53" t="s">
        <v>644</v>
      </c>
      <c r="S34" s="2" t="s">
        <v>603</v>
      </c>
    </row>
    <row r="35" spans="2:19" ht="25.5">
      <c r="B35" s="53" t="s">
        <v>645</v>
      </c>
      <c r="C35" s="2"/>
      <c r="D35" s="2"/>
      <c r="E35" s="2"/>
      <c r="F35" s="2"/>
      <c r="G35" s="2"/>
      <c r="H35" s="2">
        <v>3</v>
      </c>
      <c r="I35" s="2" t="str">
        <f t="shared" si="0"/>
        <v>Food fussiness</v>
      </c>
      <c r="J35">
        <f t="shared" si="1"/>
        <v>3</v>
      </c>
      <c r="R35" s="53" t="s">
        <v>645</v>
      </c>
      <c r="S35" s="2" t="s">
        <v>603</v>
      </c>
    </row>
    <row r="36" spans="2:19" ht="25.5">
      <c r="B36" s="53" t="s">
        <v>646</v>
      </c>
      <c r="C36" s="2"/>
      <c r="D36" s="2"/>
      <c r="E36" s="2"/>
      <c r="F36" s="2"/>
      <c r="G36" s="2"/>
      <c r="H36" s="2">
        <v>3</v>
      </c>
      <c r="I36" s="2" t="str">
        <f t="shared" si="0"/>
        <v>Food responsiveness</v>
      </c>
      <c r="J36">
        <f t="shared" si="1"/>
        <v>3</v>
      </c>
      <c r="R36" s="53" t="s">
        <v>646</v>
      </c>
      <c r="S36" s="2" t="s">
        <v>604</v>
      </c>
    </row>
    <row r="37" spans="2:19" ht="25.5">
      <c r="B37" s="53" t="s">
        <v>647</v>
      </c>
      <c r="C37" s="2"/>
      <c r="D37" s="2"/>
      <c r="E37" s="2"/>
      <c r="F37" s="2"/>
      <c r="G37" s="2"/>
      <c r="H37" s="2">
        <v>3</v>
      </c>
      <c r="I37" s="2" t="str">
        <f t="shared" si="0"/>
        <v>Slowness in eating</v>
      </c>
      <c r="J37">
        <f t="shared" si="1"/>
        <v>3</v>
      </c>
      <c r="R37" s="53" t="s">
        <v>647</v>
      </c>
      <c r="S37" s="2" t="s">
        <v>606</v>
      </c>
    </row>
    <row r="38" spans="2:19">
      <c r="B38" s="78"/>
      <c r="J38">
        <f t="shared" si="1"/>
        <v>0</v>
      </c>
    </row>
    <row r="39" spans="2:19">
      <c r="J39">
        <f t="shared" si="1"/>
        <v>0</v>
      </c>
    </row>
  </sheetData>
  <autoFilter ref="D2:I39" xr:uid="{E58F20C2-9754-439A-85B9-B06053BA7D0D}"/>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178BD-AE02-451F-AE35-CC5974C16062}">
  <dimension ref="L1:Z43"/>
  <sheetViews>
    <sheetView topLeftCell="K1" workbookViewId="0">
      <selection activeCell="Z17" sqref="Z17"/>
    </sheetView>
  </sheetViews>
  <sheetFormatPr defaultRowHeight="15"/>
  <cols>
    <col min="12" max="12" width="37.28515625" customWidth="1"/>
    <col min="20" max="20" width="36.5703125" bestFit="1" customWidth="1"/>
    <col min="21" max="21" width="15.85546875" bestFit="1" customWidth="1"/>
    <col min="26" max="26" width="38.140625" customWidth="1"/>
  </cols>
  <sheetData>
    <row r="1" spans="20:26" ht="30.75">
      <c r="T1" s="137" t="s">
        <v>81</v>
      </c>
      <c r="U1" s="121" t="s">
        <v>648</v>
      </c>
      <c r="V1" s="121" t="s">
        <v>649</v>
      </c>
      <c r="W1" s="121" t="s">
        <v>650</v>
      </c>
      <c r="X1" s="121" t="s">
        <v>651</v>
      </c>
      <c r="Y1" s="144" t="s">
        <v>652</v>
      </c>
      <c r="Z1" s="137" t="s">
        <v>85</v>
      </c>
    </row>
    <row r="2" spans="20:26" ht="30.75">
      <c r="T2" s="112" t="s">
        <v>653</v>
      </c>
      <c r="U2" s="98">
        <v>1</v>
      </c>
      <c r="V2" s="98"/>
      <c r="W2" s="98"/>
      <c r="X2" s="98"/>
      <c r="Y2" s="115"/>
      <c r="Z2" s="145">
        <f>SUM(U2:Y2)</f>
        <v>1</v>
      </c>
    </row>
    <row r="3" spans="20:26">
      <c r="T3" s="112" t="s">
        <v>654</v>
      </c>
      <c r="U3" s="98">
        <v>1</v>
      </c>
      <c r="V3" s="98"/>
      <c r="W3" s="98"/>
      <c r="X3" s="98"/>
      <c r="Y3" s="115"/>
      <c r="Z3" s="98">
        <f t="shared" ref="Z3:Z15" si="0">SUM(U3:Y3)</f>
        <v>1</v>
      </c>
    </row>
    <row r="4" spans="20:26">
      <c r="T4" s="112" t="s">
        <v>655</v>
      </c>
      <c r="U4" s="98">
        <v>1</v>
      </c>
      <c r="V4" s="98"/>
      <c r="W4" s="98"/>
      <c r="X4" s="98"/>
      <c r="Y4" s="115"/>
      <c r="Z4" s="98">
        <f t="shared" si="0"/>
        <v>1</v>
      </c>
    </row>
    <row r="5" spans="20:26" ht="30.75">
      <c r="T5" s="119" t="s">
        <v>656</v>
      </c>
      <c r="U5" s="109"/>
      <c r="V5" s="109">
        <v>2</v>
      </c>
      <c r="W5" s="109"/>
      <c r="X5" s="109"/>
      <c r="Y5" s="143"/>
      <c r="Z5" s="98">
        <f t="shared" si="0"/>
        <v>2</v>
      </c>
    </row>
    <row r="6" spans="20:26">
      <c r="T6" s="112" t="s">
        <v>657</v>
      </c>
      <c r="U6" s="98"/>
      <c r="V6" s="109">
        <v>2</v>
      </c>
      <c r="W6" s="98"/>
      <c r="X6" s="98"/>
      <c r="Y6" s="115"/>
      <c r="Z6" s="98">
        <f t="shared" si="0"/>
        <v>2</v>
      </c>
    </row>
    <row r="7" spans="20:26">
      <c r="T7" s="112" t="s">
        <v>658</v>
      </c>
      <c r="U7" s="98"/>
      <c r="V7" s="109">
        <v>2</v>
      </c>
      <c r="W7" s="98"/>
      <c r="X7" s="98"/>
      <c r="Y7" s="115"/>
      <c r="Z7" s="98">
        <f t="shared" si="0"/>
        <v>2</v>
      </c>
    </row>
    <row r="8" spans="20:26">
      <c r="T8" s="112" t="s">
        <v>659</v>
      </c>
      <c r="U8" s="98"/>
      <c r="V8" s="98"/>
      <c r="W8" s="98">
        <v>3</v>
      </c>
      <c r="X8" s="98"/>
      <c r="Y8" s="115"/>
      <c r="Z8" s="98">
        <f t="shared" si="0"/>
        <v>3</v>
      </c>
    </row>
    <row r="9" spans="20:26">
      <c r="T9" s="112" t="s">
        <v>660</v>
      </c>
      <c r="U9" s="98"/>
      <c r="V9" s="98"/>
      <c r="W9" s="98">
        <v>3</v>
      </c>
      <c r="X9" s="98"/>
      <c r="Y9" s="115"/>
      <c r="Z9" s="98">
        <f t="shared" si="0"/>
        <v>3</v>
      </c>
    </row>
    <row r="10" spans="20:26">
      <c r="T10" s="112" t="s">
        <v>661</v>
      </c>
      <c r="U10" s="98"/>
      <c r="V10" s="98"/>
      <c r="W10" s="98">
        <v>3</v>
      </c>
      <c r="X10" s="98"/>
      <c r="Y10" s="115"/>
      <c r="Z10" s="98">
        <f t="shared" si="0"/>
        <v>3</v>
      </c>
    </row>
    <row r="11" spans="20:26">
      <c r="T11" s="112" t="s">
        <v>662</v>
      </c>
      <c r="U11" s="98"/>
      <c r="V11" s="98"/>
      <c r="W11" s="98"/>
      <c r="X11" s="98">
        <v>4</v>
      </c>
      <c r="Y11" s="115"/>
      <c r="Z11" s="98">
        <f t="shared" si="0"/>
        <v>4</v>
      </c>
    </row>
    <row r="12" spans="20:26" ht="30.75">
      <c r="T12" s="112" t="s">
        <v>663</v>
      </c>
      <c r="U12" s="98"/>
      <c r="V12" s="98"/>
      <c r="W12" s="98"/>
      <c r="X12" s="98">
        <v>4</v>
      </c>
      <c r="Y12" s="115"/>
      <c r="Z12" s="98">
        <f t="shared" si="0"/>
        <v>4</v>
      </c>
    </row>
    <row r="13" spans="20:26">
      <c r="T13" s="112" t="s">
        <v>664</v>
      </c>
      <c r="U13" s="98"/>
      <c r="V13" s="98"/>
      <c r="W13" s="98"/>
      <c r="X13" s="98"/>
      <c r="Y13" s="115">
        <v>5</v>
      </c>
      <c r="Z13" s="98">
        <f t="shared" si="0"/>
        <v>5</v>
      </c>
    </row>
    <row r="14" spans="20:26">
      <c r="T14" s="112" t="s">
        <v>665</v>
      </c>
      <c r="U14" s="98"/>
      <c r="V14" s="98"/>
      <c r="W14" s="98"/>
      <c r="X14" s="98"/>
      <c r="Y14" s="115">
        <v>5</v>
      </c>
      <c r="Z14" s="98">
        <f t="shared" si="0"/>
        <v>5</v>
      </c>
    </row>
    <row r="15" spans="20:26">
      <c r="T15" s="119" t="s">
        <v>666</v>
      </c>
      <c r="U15" s="109"/>
      <c r="V15" s="109"/>
      <c r="W15" s="109"/>
      <c r="X15" s="109"/>
      <c r="Y15" s="115">
        <v>5</v>
      </c>
      <c r="Z15" s="109">
        <f t="shared" si="0"/>
        <v>5</v>
      </c>
    </row>
    <row r="16" spans="20:26">
      <c r="T16" s="276" t="s">
        <v>667</v>
      </c>
      <c r="U16" s="277"/>
      <c r="V16" s="277"/>
      <c r="W16" s="277"/>
      <c r="X16" s="277"/>
      <c r="Y16" s="278"/>
      <c r="Z16" s="98">
        <f>SUM(Z2:Z15)</f>
        <v>41</v>
      </c>
    </row>
    <row r="17" spans="12:26">
      <c r="L17" s="39" t="s">
        <v>668</v>
      </c>
      <c r="T17" s="276" t="s">
        <v>369</v>
      </c>
      <c r="U17" s="277"/>
      <c r="V17" s="277"/>
      <c r="W17" s="277"/>
      <c r="X17" s="277"/>
      <c r="Y17" s="278"/>
      <c r="Z17" s="137" t="str">
        <f>IF(Z16 &lt; 41, "probable clinical depression", IF(AND(Z16 &gt; 42, Z16 &lt; 44), "mild depression", "no depression"))</f>
        <v>no depression</v>
      </c>
    </row>
    <row r="18" spans="12:26" ht="30">
      <c r="L18" s="90" t="s">
        <v>669</v>
      </c>
    </row>
    <row r="19" spans="12:26" ht="30">
      <c r="L19" s="90" t="s">
        <v>670</v>
      </c>
    </row>
    <row r="22" spans="12:26">
      <c r="T22" s="29"/>
    </row>
    <row r="23" spans="12:26">
      <c r="T23" s="29"/>
    </row>
    <row r="24" spans="12:26">
      <c r="T24" s="29"/>
    </row>
    <row r="25" spans="12:26">
      <c r="T25" s="29"/>
    </row>
    <row r="27" spans="12:26">
      <c r="T27" s="29"/>
    </row>
    <row r="28" spans="12:26">
      <c r="T28" s="29"/>
    </row>
    <row r="29" spans="12:26">
      <c r="T29" s="29"/>
    </row>
    <row r="30" spans="12:26">
      <c r="T30" s="29"/>
    </row>
    <row r="32" spans="12:26">
      <c r="T32" s="29"/>
    </row>
    <row r="33" spans="20:20">
      <c r="T33" s="29"/>
    </row>
    <row r="34" spans="20:20">
      <c r="T34" s="29"/>
    </row>
    <row r="35" spans="20:20">
      <c r="T35" s="29"/>
    </row>
    <row r="37" spans="20:20">
      <c r="T37" s="29"/>
    </row>
    <row r="38" spans="20:20">
      <c r="T38" s="29"/>
    </row>
    <row r="39" spans="20:20">
      <c r="T39" s="29"/>
    </row>
    <row r="40" spans="20:20">
      <c r="T40" s="29"/>
    </row>
    <row r="42" spans="20:20">
      <c r="T42" s="29"/>
    </row>
    <row r="43" spans="20:20">
      <c r="T43" s="29"/>
    </row>
  </sheetData>
  <mergeCells count="2">
    <mergeCell ref="T16:Y16"/>
    <mergeCell ref="T17:Y17"/>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F43F1-BF1B-4D17-8593-FDDD5309218C}">
  <dimension ref="L2:U14"/>
  <sheetViews>
    <sheetView topLeftCell="L1" workbookViewId="0">
      <selection activeCell="X11" sqref="X11"/>
    </sheetView>
  </sheetViews>
  <sheetFormatPr defaultRowHeight="15"/>
  <cols>
    <col min="12" max="12" width="46.140625" customWidth="1"/>
    <col min="15" max="15" width="36.5703125" bestFit="1" customWidth="1"/>
    <col min="16" max="16" width="8.85546875" style="29" customWidth="1"/>
    <col min="18" max="18" width="10" style="29" customWidth="1"/>
    <col min="19" max="19" width="10" customWidth="1"/>
    <col min="20" max="20" width="8.85546875" style="29" customWidth="1"/>
    <col min="21" max="21" width="36.5703125" bestFit="1" customWidth="1"/>
  </cols>
  <sheetData>
    <row r="2" spans="12:21" ht="30.75">
      <c r="O2" s="138" t="s">
        <v>81</v>
      </c>
      <c r="P2" s="139" t="s">
        <v>648</v>
      </c>
      <c r="Q2" s="138" t="s">
        <v>649</v>
      </c>
      <c r="R2" s="139" t="s">
        <v>650</v>
      </c>
      <c r="S2" s="138" t="s">
        <v>651</v>
      </c>
      <c r="T2" s="140" t="s">
        <v>652</v>
      </c>
      <c r="U2" s="138" t="s">
        <v>85</v>
      </c>
    </row>
    <row r="3" spans="12:21" ht="30.75">
      <c r="O3" s="112" t="s">
        <v>671</v>
      </c>
      <c r="P3" s="112">
        <v>0</v>
      </c>
      <c r="Q3" s="98"/>
      <c r="R3" s="112"/>
      <c r="S3" s="98"/>
      <c r="T3" s="141"/>
      <c r="U3" s="98">
        <f>SUM(P3:T3)</f>
        <v>0</v>
      </c>
    </row>
    <row r="4" spans="12:21">
      <c r="O4" s="112" t="s">
        <v>654</v>
      </c>
      <c r="P4" s="112">
        <v>0</v>
      </c>
      <c r="Q4" s="98"/>
      <c r="R4" s="112"/>
      <c r="S4" s="98"/>
      <c r="T4" s="141"/>
      <c r="U4" s="98">
        <f t="shared" ref="U4:U9" si="0">SUM(P4:T4)</f>
        <v>0</v>
      </c>
    </row>
    <row r="5" spans="12:21">
      <c r="O5" s="98" t="s">
        <v>655</v>
      </c>
      <c r="P5" s="112"/>
      <c r="Q5" s="98">
        <v>1</v>
      </c>
      <c r="R5" s="112"/>
      <c r="S5" s="98"/>
      <c r="T5" s="141"/>
      <c r="U5" s="98">
        <f t="shared" si="0"/>
        <v>1</v>
      </c>
    </row>
    <row r="6" spans="12:21">
      <c r="O6" s="98" t="s">
        <v>658</v>
      </c>
      <c r="P6" s="112"/>
      <c r="Q6" s="98">
        <v>1</v>
      </c>
      <c r="R6" s="112"/>
      <c r="S6" s="98"/>
      <c r="T6" s="141"/>
      <c r="U6" s="98">
        <f t="shared" si="0"/>
        <v>1</v>
      </c>
    </row>
    <row r="7" spans="12:21">
      <c r="O7" s="98" t="s">
        <v>659</v>
      </c>
      <c r="P7" s="112"/>
      <c r="Q7" s="98"/>
      <c r="R7" s="112">
        <v>2</v>
      </c>
      <c r="S7" s="98"/>
      <c r="T7" s="141"/>
      <c r="U7" s="98">
        <f t="shared" si="0"/>
        <v>2</v>
      </c>
    </row>
    <row r="8" spans="12:21">
      <c r="O8" s="98" t="s">
        <v>661</v>
      </c>
      <c r="P8" s="112"/>
      <c r="Q8" s="98"/>
      <c r="R8" s="112">
        <v>2</v>
      </c>
      <c r="S8" s="98"/>
      <c r="T8" s="141"/>
      <c r="U8" s="98">
        <f t="shared" si="0"/>
        <v>2</v>
      </c>
    </row>
    <row r="9" spans="12:21" ht="30.75">
      <c r="O9" s="119" t="s">
        <v>663</v>
      </c>
      <c r="P9" s="119"/>
      <c r="Q9" s="109"/>
      <c r="R9" s="119"/>
      <c r="S9" s="109">
        <v>3</v>
      </c>
      <c r="T9" s="142"/>
      <c r="U9" s="109">
        <f t="shared" si="0"/>
        <v>3</v>
      </c>
    </row>
    <row r="10" spans="12:21">
      <c r="O10" s="279" t="s">
        <v>667</v>
      </c>
      <c r="P10" s="280"/>
      <c r="Q10" s="280"/>
      <c r="R10" s="280"/>
      <c r="S10" s="280"/>
      <c r="T10" s="280"/>
      <c r="U10" s="137">
        <f>SUM(U3:U9)</f>
        <v>9</v>
      </c>
    </row>
    <row r="11" spans="12:21" ht="30.75">
      <c r="O11" s="279" t="s">
        <v>369</v>
      </c>
      <c r="P11" s="280"/>
      <c r="Q11" s="280"/>
      <c r="R11" s="280"/>
      <c r="S11" s="280"/>
      <c r="T11" s="280"/>
      <c r="U11" s="121" t="str">
        <f>IF(U10 &lt;=18, "probable clinical depression", IF(AND(U10 &gt; 18, U10 &lt; 20), "mild depression", "no depression"))</f>
        <v>probable clinical depression</v>
      </c>
    </row>
    <row r="12" spans="12:21" ht="68.25" customHeight="1">
      <c r="L12" s="89" t="s">
        <v>672</v>
      </c>
    </row>
    <row r="13" spans="12:21" ht="47.25" customHeight="1">
      <c r="L13" s="89" t="s">
        <v>673</v>
      </c>
    </row>
    <row r="14" spans="12:21">
      <c r="L14" s="42" t="s">
        <v>674</v>
      </c>
    </row>
  </sheetData>
  <mergeCells count="2">
    <mergeCell ref="O10:T10"/>
    <mergeCell ref="O11:T1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83FE3-984F-4D9A-9E28-5A2BB1CBF6D0}">
  <dimension ref="C1:I26"/>
  <sheetViews>
    <sheetView topLeftCell="B5" workbookViewId="0">
      <selection activeCell="I13" sqref="I13"/>
    </sheetView>
  </sheetViews>
  <sheetFormatPr defaultRowHeight="15"/>
  <cols>
    <col min="3" max="3" width="34.42578125" customWidth="1"/>
    <col min="4" max="4" width="12.7109375" customWidth="1"/>
    <col min="5" max="5" width="13.85546875" customWidth="1"/>
    <col min="6" max="6" width="13.28515625" customWidth="1"/>
    <col min="7" max="7" width="14.85546875" customWidth="1"/>
    <col min="8" max="8" width="8.7109375" style="5" customWidth="1"/>
    <col min="9" max="9" width="24.140625" customWidth="1"/>
    <col min="10" max="10" width="17.140625" customWidth="1"/>
  </cols>
  <sheetData>
    <row r="1" spans="3:9">
      <c r="C1" s="42" t="s">
        <v>675</v>
      </c>
    </row>
    <row r="2" spans="3:9">
      <c r="C2" s="39" t="s">
        <v>85</v>
      </c>
      <c r="D2" s="2">
        <f>SUM(H6:H12)</f>
        <v>9</v>
      </c>
    </row>
    <row r="3" spans="3:9">
      <c r="C3" s="39" t="s">
        <v>369</v>
      </c>
      <c r="D3" s="39" t="str">
        <f>IF(AND(H13=0,H13&lt;=4),"minimal anxiety",(IF(AND(H13&gt;=5,H13&lt;=9),"mild anxiety",IF(AND(H13&gt;=10,H13&lt;=14),"moderate anxiety",IF(AND(H13&gt;=15,H13&lt;=21),"severe anxiety")))))</f>
        <v>mild anxiety</v>
      </c>
    </row>
    <row r="5" spans="3:9" ht="54">
      <c r="C5" s="44" t="s">
        <v>81</v>
      </c>
      <c r="D5" s="86" t="s">
        <v>3</v>
      </c>
      <c r="E5" s="86" t="s">
        <v>676</v>
      </c>
      <c r="F5" s="86" t="s">
        <v>677</v>
      </c>
      <c r="G5" s="86" t="s">
        <v>678</v>
      </c>
      <c r="H5" s="86" t="s">
        <v>337</v>
      </c>
    </row>
    <row r="6" spans="3:9" ht="39.75" customHeight="1">
      <c r="C6" s="87" t="s">
        <v>679</v>
      </c>
      <c r="D6" s="2">
        <v>0</v>
      </c>
      <c r="E6" s="2"/>
      <c r="F6" s="2"/>
      <c r="G6" s="2"/>
      <c r="H6" s="4">
        <f>SUM(D6:G6)</f>
        <v>0</v>
      </c>
    </row>
    <row r="7" spans="3:9" ht="32.25" customHeight="1">
      <c r="C7" s="87" t="s">
        <v>680</v>
      </c>
      <c r="D7" s="2">
        <v>0</v>
      </c>
      <c r="E7" s="2"/>
      <c r="F7" s="2"/>
      <c r="G7" s="2"/>
      <c r="H7" s="4">
        <f t="shared" ref="H7:H12" si="0">SUM(D7:G7)</f>
        <v>0</v>
      </c>
    </row>
    <row r="8" spans="3:9" ht="37.5" customHeight="1">
      <c r="C8" s="87" t="s">
        <v>681</v>
      </c>
      <c r="D8" s="2"/>
      <c r="E8" s="2">
        <v>1</v>
      </c>
      <c r="F8" s="2"/>
      <c r="G8" s="2"/>
      <c r="H8" s="4">
        <f t="shared" si="0"/>
        <v>1</v>
      </c>
    </row>
    <row r="9" spans="3:9" ht="15.75" customHeight="1">
      <c r="C9" s="87" t="s">
        <v>682</v>
      </c>
      <c r="D9" s="2"/>
      <c r="E9" s="2">
        <v>1</v>
      </c>
      <c r="F9" s="2"/>
      <c r="G9" s="2"/>
      <c r="H9" s="4">
        <f t="shared" si="0"/>
        <v>1</v>
      </c>
    </row>
    <row r="10" spans="3:9" ht="25.5" customHeight="1">
      <c r="C10" s="87" t="s">
        <v>683</v>
      </c>
      <c r="D10" s="2"/>
      <c r="E10" s="2"/>
      <c r="F10" s="2">
        <v>2</v>
      </c>
      <c r="G10" s="2"/>
      <c r="H10" s="4">
        <f t="shared" si="0"/>
        <v>2</v>
      </c>
    </row>
    <row r="11" spans="3:9" ht="15.75" customHeight="1">
      <c r="C11" s="87" t="s">
        <v>684</v>
      </c>
      <c r="D11" s="2"/>
      <c r="E11" s="2"/>
      <c r="F11" s="2">
        <v>2</v>
      </c>
      <c r="G11" s="2"/>
      <c r="H11" s="4">
        <f t="shared" si="0"/>
        <v>2</v>
      </c>
    </row>
    <row r="12" spans="3:9" ht="67.5" customHeight="1">
      <c r="C12" s="88" t="s">
        <v>685</v>
      </c>
      <c r="D12" s="2"/>
      <c r="E12" s="2"/>
      <c r="F12" s="2"/>
      <c r="G12" s="2">
        <v>3</v>
      </c>
      <c r="H12" s="4">
        <f t="shared" si="0"/>
        <v>3</v>
      </c>
    </row>
    <row r="13" spans="3:9">
      <c r="C13" s="39" t="s">
        <v>85</v>
      </c>
      <c r="D13" s="2"/>
      <c r="E13" s="2"/>
      <c r="F13" s="2"/>
      <c r="G13" s="2"/>
      <c r="H13" s="44">
        <f>SUM(H6:H12)</f>
        <v>9</v>
      </c>
      <c r="I13" s="42" t="str">
        <f>IF(AND(H13=0,H13&lt;=4),"minimal anxiety",(IF(AND(H13&gt;=5,H13&lt;=9),"mild anxiety",IF(AND(H13&gt;=10,H13&lt;=14),"moderate anxiety",IF(AND(H13&gt;=15,H13&lt;=21),"severe anxiety")))))</f>
        <v>mild anxiety</v>
      </c>
    </row>
    <row r="26" spans="5:5">
      <c r="E26" s="42"/>
    </row>
  </sheetData>
  <autoFilter ref="C5:C13" xr:uid="{4C383FE3-984F-4D9A-9E28-5A2BB1CBF6D0}"/>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B01D7-C8D5-453A-AB0C-F96A59B374EA}">
  <dimension ref="A1:G24"/>
  <sheetViews>
    <sheetView topLeftCell="B5" workbookViewId="0">
      <selection activeCell="H20" sqref="H20"/>
    </sheetView>
  </sheetViews>
  <sheetFormatPr defaultRowHeight="15"/>
  <cols>
    <col min="1" max="1" width="9.140625" style="5"/>
    <col min="2" max="2" width="43.85546875" customWidth="1"/>
    <col min="3" max="3" width="26.140625" style="5" customWidth="1"/>
    <col min="4" max="4" width="17.42578125" style="5" customWidth="1"/>
    <col min="5" max="5" width="15.5703125" style="5" customWidth="1"/>
    <col min="6" max="6" width="36.140625" style="5" customWidth="1"/>
    <col min="7" max="7" width="25.42578125" customWidth="1"/>
  </cols>
  <sheetData>
    <row r="1" spans="1:7">
      <c r="A1" s="281" t="s">
        <v>686</v>
      </c>
      <c r="B1" s="282"/>
      <c r="C1" s="282"/>
      <c r="D1" s="282"/>
      <c r="E1" s="282"/>
      <c r="F1" s="282"/>
    </row>
    <row r="2" spans="1:7" hidden="1">
      <c r="A2" s="282"/>
      <c r="B2" s="282"/>
      <c r="C2" s="282"/>
      <c r="D2" s="282"/>
      <c r="E2" s="282"/>
      <c r="F2" s="283"/>
    </row>
    <row r="3" spans="1:7">
      <c r="A3" s="23"/>
      <c r="B3" s="23"/>
      <c r="C3" s="23"/>
      <c r="D3" s="23"/>
      <c r="E3" s="23"/>
      <c r="F3" s="23"/>
    </row>
    <row r="4" spans="1:7" ht="30">
      <c r="A4" s="23"/>
      <c r="B4" s="92" t="s">
        <v>343</v>
      </c>
      <c r="C4" s="92" t="str">
        <f>IF(SUM(F7:F23)&gt;=15,"potential psychosocial difficulties","Non-potential psychosocial difficulties")</f>
        <v>potential psychosocial difficulties</v>
      </c>
      <c r="D4" s="23"/>
      <c r="E4" s="23"/>
      <c r="F4" s="23"/>
    </row>
    <row r="5" spans="1:7">
      <c r="A5" s="23"/>
      <c r="B5" s="23"/>
      <c r="C5" s="23"/>
      <c r="D5" s="23"/>
      <c r="E5" s="23"/>
      <c r="F5" s="23"/>
    </row>
    <row r="6" spans="1:7">
      <c r="A6" s="44" t="s">
        <v>1</v>
      </c>
      <c r="B6" s="39" t="s">
        <v>81</v>
      </c>
      <c r="C6" s="44" t="s">
        <v>355</v>
      </c>
      <c r="D6" s="44" t="s">
        <v>492</v>
      </c>
      <c r="E6" s="44" t="s">
        <v>687</v>
      </c>
      <c r="F6" s="44" t="s">
        <v>464</v>
      </c>
      <c r="G6" s="44" t="s">
        <v>369</v>
      </c>
    </row>
    <row r="7" spans="1:7">
      <c r="A7" s="4">
        <v>1</v>
      </c>
      <c r="B7" s="2" t="s">
        <v>688</v>
      </c>
      <c r="C7" s="4">
        <v>0</v>
      </c>
      <c r="D7" s="4"/>
      <c r="E7" s="4"/>
      <c r="F7" s="4">
        <f>SUM(C7:E7)</f>
        <v>0</v>
      </c>
      <c r="G7" s="2"/>
    </row>
    <row r="8" spans="1:7">
      <c r="A8" s="4">
        <v>2</v>
      </c>
      <c r="B8" s="2" t="s">
        <v>689</v>
      </c>
      <c r="C8" s="4">
        <v>0</v>
      </c>
      <c r="D8" s="4"/>
      <c r="E8" s="4"/>
      <c r="F8" s="4">
        <f t="shared" ref="F8:F9" si="0">SUM(C8:E8)</f>
        <v>0</v>
      </c>
      <c r="G8" s="2"/>
    </row>
    <row r="9" spans="1:7">
      <c r="A9" s="4">
        <v>3</v>
      </c>
      <c r="B9" s="2" t="s">
        <v>690</v>
      </c>
      <c r="C9" s="4">
        <v>0</v>
      </c>
      <c r="D9" s="4"/>
      <c r="E9" s="4"/>
      <c r="F9" s="4">
        <f t="shared" si="0"/>
        <v>0</v>
      </c>
      <c r="G9" s="2"/>
    </row>
    <row r="10" spans="1:7">
      <c r="A10" s="4">
        <v>4</v>
      </c>
      <c r="B10" s="2" t="s">
        <v>691</v>
      </c>
      <c r="C10" s="4">
        <v>0</v>
      </c>
      <c r="D10" s="4"/>
      <c r="E10" s="4"/>
      <c r="F10" s="283">
        <f>SUM(C10:E12,C14:E15)</f>
        <v>3</v>
      </c>
      <c r="G10" s="283" t="str">
        <f>IF(SUM(C10:E12, C14:E15)&gt;=5,"Internalizing Problems","Non-Internalizing Problems")</f>
        <v>Non-Internalizing Problems</v>
      </c>
    </row>
    <row r="11" spans="1:7">
      <c r="A11" s="4">
        <v>5</v>
      </c>
      <c r="B11" s="2" t="s">
        <v>692</v>
      </c>
      <c r="C11" s="4">
        <v>0</v>
      </c>
      <c r="D11" s="4"/>
      <c r="E11" s="4"/>
      <c r="F11" s="284"/>
      <c r="G11" s="284"/>
    </row>
    <row r="12" spans="1:7">
      <c r="A12" s="4">
        <v>6</v>
      </c>
      <c r="B12" s="2" t="s">
        <v>693</v>
      </c>
      <c r="C12" s="4"/>
      <c r="D12" s="4">
        <v>1</v>
      </c>
      <c r="E12" s="4"/>
      <c r="F12" s="285"/>
      <c r="G12" s="284"/>
    </row>
    <row r="13" spans="1:7">
      <c r="A13" s="4">
        <v>7</v>
      </c>
      <c r="B13" s="2" t="s">
        <v>694</v>
      </c>
      <c r="C13" s="4"/>
      <c r="D13" s="4">
        <v>1</v>
      </c>
      <c r="E13" s="4"/>
      <c r="F13" s="30">
        <f>SUM(C13:E13)</f>
        <v>1</v>
      </c>
      <c r="G13" s="93"/>
    </row>
    <row r="14" spans="1:7">
      <c r="A14" s="4">
        <v>8</v>
      </c>
      <c r="B14" s="2" t="s">
        <v>695</v>
      </c>
      <c r="C14" s="4"/>
      <c r="D14" s="4">
        <v>1</v>
      </c>
      <c r="E14" s="4"/>
      <c r="F14" s="283"/>
      <c r="G14" s="94"/>
    </row>
    <row r="15" spans="1:7">
      <c r="A15" s="4">
        <v>9</v>
      </c>
      <c r="B15" s="2" t="s">
        <v>696</v>
      </c>
      <c r="C15" s="4"/>
      <c r="D15" s="4">
        <v>1</v>
      </c>
      <c r="E15" s="4"/>
      <c r="F15" s="285"/>
      <c r="G15" s="2"/>
    </row>
    <row r="16" spans="1:7">
      <c r="A16" s="4">
        <v>10</v>
      </c>
      <c r="B16" s="2" t="s">
        <v>697</v>
      </c>
      <c r="C16" s="4"/>
      <c r="D16" s="4">
        <v>1</v>
      </c>
      <c r="E16" s="4"/>
      <c r="F16" s="264">
        <f>SUM(C16:E19)</f>
        <v>7</v>
      </c>
      <c r="G16" s="264" t="str">
        <f>IF(SUM(F16)&gt;=7,"Attention Problem","Non-Attention Problem")</f>
        <v>Attention Problem</v>
      </c>
    </row>
    <row r="17" spans="1:7">
      <c r="A17" s="4">
        <v>11</v>
      </c>
      <c r="B17" s="2" t="s">
        <v>698</v>
      </c>
      <c r="C17" s="4"/>
      <c r="D17" s="4"/>
      <c r="E17" s="4">
        <v>2</v>
      </c>
      <c r="F17" s="265"/>
      <c r="G17" s="265"/>
    </row>
    <row r="18" spans="1:7">
      <c r="A18" s="4">
        <v>12</v>
      </c>
      <c r="B18" s="2" t="s">
        <v>699</v>
      </c>
      <c r="C18" s="4"/>
      <c r="D18" s="4"/>
      <c r="E18" s="4">
        <v>2</v>
      </c>
      <c r="F18" s="265"/>
      <c r="G18" s="265"/>
    </row>
    <row r="19" spans="1:7">
      <c r="A19" s="4">
        <v>13</v>
      </c>
      <c r="B19" s="2" t="s">
        <v>700</v>
      </c>
      <c r="C19" s="4"/>
      <c r="D19" s="4"/>
      <c r="E19" s="4">
        <v>2</v>
      </c>
      <c r="F19" s="266"/>
      <c r="G19" s="266"/>
    </row>
    <row r="20" spans="1:7">
      <c r="A20" s="4">
        <v>14</v>
      </c>
      <c r="B20" s="2" t="s">
        <v>701</v>
      </c>
      <c r="C20" s="4"/>
      <c r="D20" s="4"/>
      <c r="E20" s="4">
        <v>2</v>
      </c>
      <c r="F20" s="264">
        <f>SUM(C20:E23)</f>
        <v>8</v>
      </c>
      <c r="G20" s="264" t="str">
        <f>IF(SUM(F20)&gt;=7,"Externalizing Problems","Non-Externalizing Problems")</f>
        <v>Externalizing Problems</v>
      </c>
    </row>
    <row r="21" spans="1:7">
      <c r="A21" s="4">
        <v>15</v>
      </c>
      <c r="B21" s="2" t="s">
        <v>702</v>
      </c>
      <c r="C21" s="4"/>
      <c r="D21" s="4"/>
      <c r="E21" s="4">
        <v>2</v>
      </c>
      <c r="F21" s="265"/>
      <c r="G21" s="265"/>
    </row>
    <row r="22" spans="1:7">
      <c r="A22" s="4">
        <v>16</v>
      </c>
      <c r="B22" s="2" t="s">
        <v>703</v>
      </c>
      <c r="C22" s="4"/>
      <c r="D22" s="4"/>
      <c r="E22" s="4">
        <v>2</v>
      </c>
      <c r="F22" s="265"/>
      <c r="G22" s="265"/>
    </row>
    <row r="23" spans="1:7">
      <c r="A23" s="4">
        <v>17</v>
      </c>
      <c r="B23" s="2" t="s">
        <v>704</v>
      </c>
      <c r="C23" s="4"/>
      <c r="D23" s="4"/>
      <c r="E23" s="4">
        <v>2</v>
      </c>
      <c r="F23" s="266"/>
      <c r="G23" s="266"/>
    </row>
    <row r="24" spans="1:7">
      <c r="F24" s="5" t="str">
        <f>IF(AND(SUM(F7:F23)&gt;=15,G10&gt;=5,G16&gt;=7,G20&gt;=7),"potential psychosocial difficulties","Non-potential psychosocial difficulties")</f>
        <v>potential psychosocial difficulties</v>
      </c>
    </row>
  </sheetData>
  <mergeCells count="8">
    <mergeCell ref="A1:F2"/>
    <mergeCell ref="G20:G23"/>
    <mergeCell ref="G10:G12"/>
    <mergeCell ref="F10:F12"/>
    <mergeCell ref="F16:F19"/>
    <mergeCell ref="G16:G19"/>
    <mergeCell ref="F14:F15"/>
    <mergeCell ref="F20:F23"/>
  </mergeCells>
  <conditionalFormatting sqref="C4">
    <cfRule type="containsText" priority="1" operator="containsText" text="potential psychosocial difficulties">
      <formula>NOT(ISERROR(SEARCH("potential psychosocial difficulties",C4)))</formula>
    </cfRule>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9CD4E-1577-4B02-BC11-6CA7D7C719B2}">
  <dimension ref="A1:AB42"/>
  <sheetViews>
    <sheetView topLeftCell="R1" workbookViewId="0">
      <selection activeCell="X4" sqref="X4"/>
    </sheetView>
  </sheetViews>
  <sheetFormatPr defaultRowHeight="15"/>
  <cols>
    <col min="2" max="2" width="45.140625" style="29" customWidth="1"/>
    <col min="3" max="3" width="17.42578125" customWidth="1"/>
    <col min="4" max="4" width="16.5703125" customWidth="1"/>
    <col min="5" max="5" width="13.28515625" customWidth="1"/>
    <col min="6" max="7" width="39" customWidth="1"/>
    <col min="8" max="8" width="22.28515625" customWidth="1"/>
    <col min="9" max="9" width="29.7109375" style="29" customWidth="1"/>
    <col min="14" max="14" width="26.28515625" bestFit="1" customWidth="1"/>
    <col min="15" max="15" width="13.140625" bestFit="1" customWidth="1"/>
    <col min="17" max="17" width="41.7109375" bestFit="1" customWidth="1"/>
    <col min="18" max="18" width="18.140625" bestFit="1" customWidth="1"/>
    <col min="19" max="19" width="61.28515625" style="23" customWidth="1"/>
    <col min="27" max="27" width="20.85546875" customWidth="1"/>
    <col min="28" max="28" width="16.42578125" style="29" customWidth="1"/>
  </cols>
  <sheetData>
    <row r="1" spans="1:28" ht="71.25" customHeight="1">
      <c r="A1" s="95" t="s">
        <v>1</v>
      </c>
      <c r="B1" s="96" t="s">
        <v>81</v>
      </c>
      <c r="C1" s="96" t="s">
        <v>705</v>
      </c>
      <c r="D1" s="96" t="s">
        <v>706</v>
      </c>
      <c r="E1" s="96" t="s">
        <v>707</v>
      </c>
      <c r="F1" s="96" t="s">
        <v>363</v>
      </c>
      <c r="G1" s="96" t="s">
        <v>708</v>
      </c>
      <c r="H1" s="2" t="s">
        <v>709</v>
      </c>
      <c r="I1" s="30"/>
      <c r="J1" s="2"/>
    </row>
    <row r="2" spans="1:28" ht="15" customHeight="1">
      <c r="A2" s="2">
        <v>1</v>
      </c>
      <c r="B2" s="30" t="s">
        <v>710</v>
      </c>
      <c r="C2" s="2">
        <v>0</v>
      </c>
      <c r="D2" s="2"/>
      <c r="E2" s="2"/>
      <c r="F2" s="2" t="str">
        <f>VLOOKUP(B2,QuestionariesSCARED_Parent,2,FALSE)</f>
        <v>Panic Disorder or Significant
Somatic Symptoms</v>
      </c>
      <c r="G2" s="2">
        <f>SUM(C2+D2+E2)</f>
        <v>0</v>
      </c>
      <c r="H2" s="2">
        <f>SUM(C2:E42)</f>
        <v>41</v>
      </c>
      <c r="I2" s="30" t="str">
        <f>IF(SUM(C2:E42)&gt;=25,"May indicate the presence of an anxiety disorder", "More specific indicates the presence of an anxiety disorder")</f>
        <v>May indicate the presence of an anxiety disorder</v>
      </c>
      <c r="J2" s="2"/>
      <c r="Q2" s="97" t="s">
        <v>363</v>
      </c>
      <c r="R2" s="98" t="s">
        <v>711</v>
      </c>
      <c r="S2" s="114"/>
      <c r="Z2">
        <v>1</v>
      </c>
      <c r="AA2" s="30" t="s">
        <v>710</v>
      </c>
      <c r="AB2" s="29" t="s">
        <v>712</v>
      </c>
    </row>
    <row r="3" spans="1:28" ht="45.75">
      <c r="A3" s="2">
        <v>2</v>
      </c>
      <c r="B3" s="30" t="s">
        <v>713</v>
      </c>
      <c r="C3" s="2">
        <v>0</v>
      </c>
      <c r="D3" s="2"/>
      <c r="E3" s="2"/>
      <c r="F3" s="2" t="str">
        <f>VLOOKUP(B3,QuestionariesSCARED_Parent,2,FALSE)</f>
        <v>School Avoidance</v>
      </c>
      <c r="G3" s="2">
        <f t="shared" ref="G3:G42" si="0">SUM(C3+D3+E3)</f>
        <v>0</v>
      </c>
      <c r="H3" s="2"/>
      <c r="I3" s="30" t="str">
        <f>IF(SUM(C2:E2,C7:E7,C10:E10,C13:E13,C16:E16,C19:E19,C20:E20,C23:E23,C25:E25,C28:E28,C31:E31,C35:E35,C39:E39)=7, "Panic Disorder or Significant Somatic Symptoms", "No Panic Disorder")</f>
        <v>No Panic Disorder</v>
      </c>
      <c r="J3" s="2"/>
      <c r="Q3" s="98" t="s">
        <v>714</v>
      </c>
      <c r="R3" s="98">
        <v>9</v>
      </c>
      <c r="S3" s="98" t="str">
        <f>IF(SUM(R3)=9,"May indicate generalized anxiety disorder","More specific indicates the presence of generalized anxiety disorder")</f>
        <v>May indicate generalized anxiety disorder</v>
      </c>
      <c r="Z3">
        <v>2</v>
      </c>
      <c r="AA3" s="30" t="s">
        <v>713</v>
      </c>
      <c r="AB3" s="29" t="s">
        <v>715</v>
      </c>
    </row>
    <row r="4" spans="1:28" ht="45.75">
      <c r="A4" s="2">
        <v>3</v>
      </c>
      <c r="B4" s="30" t="s">
        <v>716</v>
      </c>
      <c r="C4" s="2">
        <v>0</v>
      </c>
      <c r="D4" s="2"/>
      <c r="E4" s="2"/>
      <c r="F4" s="2" t="str">
        <f>VLOOKUP(B4,QuestionariesSCARED_Parent,2,FALSE)</f>
        <v>Social Anxiety Disorder</v>
      </c>
      <c r="G4" s="2">
        <f t="shared" si="0"/>
        <v>0</v>
      </c>
      <c r="H4" s="2"/>
      <c r="I4" s="30" t="str">
        <f>IF(SUM(C6:E6,C8:E8,C15:E15,C22:E22,C24:E24,C29:E29,C34:E34,C36:E36,C38:E38)&gt;=9,"May indicates Generalized Anxiety Disorder","No Generalized Anxiety Disorder")</f>
        <v>May indicates Generalized Anxiety Disorder</v>
      </c>
      <c r="J4" s="2"/>
      <c r="Q4" s="98" t="s">
        <v>712</v>
      </c>
      <c r="R4" s="98">
        <v>10</v>
      </c>
      <c r="S4" s="101" t="str">
        <f>IF(SUM(R4)=7,"May indicate panic disorder or significant somatic symptoms","More specific indicates the presence of panic disorder")</f>
        <v>More specific indicates the presence of panic disorder</v>
      </c>
      <c r="Z4">
        <v>3</v>
      </c>
      <c r="AA4" s="30" t="s">
        <v>716</v>
      </c>
      <c r="AB4" s="29" t="s">
        <v>717</v>
      </c>
    </row>
    <row r="5" spans="1:28" ht="45.75">
      <c r="A5" s="2">
        <v>4</v>
      </c>
      <c r="B5" s="30" t="s">
        <v>718</v>
      </c>
      <c r="C5" s="2">
        <v>0</v>
      </c>
      <c r="D5" s="2"/>
      <c r="E5" s="2"/>
      <c r="F5" s="2" t="str">
        <f>VLOOKUP(B5,QuestionariesSCARED_Parent,2,FALSE)</f>
        <v>Separation Anxiety Disorder</v>
      </c>
      <c r="G5" s="2">
        <f t="shared" si="0"/>
        <v>0</v>
      </c>
      <c r="H5" s="2"/>
      <c r="I5" s="30"/>
      <c r="J5" s="2"/>
      <c r="Q5" s="98" t="s">
        <v>715</v>
      </c>
      <c r="R5" s="98">
        <v>3</v>
      </c>
      <c r="S5" s="101" t="str">
        <f>IF(SUM(R5)=3,"May indicate school avoidance","More specific indicates the presence of school avoidance")</f>
        <v>May indicate school avoidance</v>
      </c>
      <c r="Z5">
        <v>4</v>
      </c>
      <c r="AA5" s="30" t="s">
        <v>718</v>
      </c>
      <c r="AB5" s="29" t="s">
        <v>719</v>
      </c>
    </row>
    <row r="6" spans="1:28" ht="45.75">
      <c r="A6" s="2">
        <v>5</v>
      </c>
      <c r="B6" s="30" t="s">
        <v>720</v>
      </c>
      <c r="C6" s="2">
        <v>0</v>
      </c>
      <c r="D6" s="2"/>
      <c r="E6" s="2"/>
      <c r="F6" s="2" t="str">
        <f>VLOOKUP(B6,QuestionariesSCARED_Parent,2,FALSE)</f>
        <v>Generalized Anxiety Disorder</v>
      </c>
      <c r="G6" s="2">
        <f t="shared" si="0"/>
        <v>0</v>
      </c>
      <c r="H6" s="2"/>
      <c r="I6" s="30"/>
      <c r="J6" s="2"/>
      <c r="Q6" s="98" t="s">
        <v>719</v>
      </c>
      <c r="R6" s="98">
        <v>6</v>
      </c>
      <c r="S6" s="101" t="str">
        <f>IF(SUM(R6)=5,"May indicate separation anxiety disorder","More specific indicates the presence of separation anxiety disorder")</f>
        <v>More specific indicates the presence of separation anxiety disorder</v>
      </c>
      <c r="Z6">
        <v>5</v>
      </c>
      <c r="AA6" s="30" t="s">
        <v>720</v>
      </c>
      <c r="AB6" s="29" t="s">
        <v>714</v>
      </c>
    </row>
    <row r="7" spans="1:28" ht="60.75">
      <c r="A7" s="2">
        <v>6</v>
      </c>
      <c r="B7" s="30" t="s">
        <v>721</v>
      </c>
      <c r="C7" s="2">
        <v>0</v>
      </c>
      <c r="D7" s="2"/>
      <c r="E7" s="2"/>
      <c r="F7" s="2" t="str">
        <f>VLOOKUP(B7,QuestionariesSCARED_Parent,2,FALSE)</f>
        <v>Panic Disorder or Significant
Somatic Symptoms</v>
      </c>
      <c r="G7" s="2">
        <f t="shared" si="0"/>
        <v>0</v>
      </c>
      <c r="H7" s="2"/>
      <c r="I7" s="30"/>
      <c r="J7" s="2"/>
      <c r="Q7" s="98" t="s">
        <v>717</v>
      </c>
      <c r="R7" s="98">
        <v>8</v>
      </c>
      <c r="S7" s="116" t="str">
        <f>IF(SUM(R7)=8,"May indicate social anxiety disorder","More specific indicates the presence of social anxiety disorder")</f>
        <v>May indicate social anxiety disorder</v>
      </c>
      <c r="Z7">
        <v>6</v>
      </c>
      <c r="AA7" s="30" t="s">
        <v>721</v>
      </c>
      <c r="AB7" s="29" t="s">
        <v>712</v>
      </c>
    </row>
    <row r="8" spans="1:28" ht="30.75">
      <c r="A8" s="2">
        <v>7</v>
      </c>
      <c r="B8" s="30" t="s">
        <v>722</v>
      </c>
      <c r="C8" s="2">
        <v>0</v>
      </c>
      <c r="D8" s="2"/>
      <c r="E8" s="2"/>
      <c r="F8" s="2" t="str">
        <f>VLOOKUP(B8,QuestionariesSCARED_Parent,2,FALSE)</f>
        <v>Generalized Anxiety Disorder</v>
      </c>
      <c r="G8" s="2">
        <f t="shared" si="0"/>
        <v>0</v>
      </c>
      <c r="H8" s="2"/>
      <c r="I8" s="30"/>
      <c r="J8" s="2"/>
      <c r="Q8" s="98" t="s">
        <v>347</v>
      </c>
      <c r="R8" s="115">
        <v>36</v>
      </c>
      <c r="S8" s="101" t="str">
        <f>IF(SUM(R3:R6)&gt;=25,"May indicate the presence of an anxiety disorder","More specific indicates the presence of an anxiety disorder")</f>
        <v>May indicate the presence of an anxiety disorder</v>
      </c>
      <c r="Z8">
        <v>7</v>
      </c>
      <c r="AA8" s="30" t="s">
        <v>722</v>
      </c>
      <c r="AB8" s="29" t="s">
        <v>714</v>
      </c>
    </row>
    <row r="9" spans="1:28" ht="30.75">
      <c r="A9" s="2">
        <v>8</v>
      </c>
      <c r="B9" s="30" t="s">
        <v>723</v>
      </c>
      <c r="C9" s="2">
        <v>0</v>
      </c>
      <c r="D9" s="2"/>
      <c r="E9" s="2"/>
      <c r="F9" s="2" t="str">
        <f>VLOOKUP(B9,QuestionariesSCARED_Parent,2,FALSE)</f>
        <v>Separation Anxiety Disorder</v>
      </c>
      <c r="G9" s="2">
        <f t="shared" si="0"/>
        <v>0</v>
      </c>
      <c r="H9" s="2"/>
      <c r="I9" s="30"/>
      <c r="J9" s="2"/>
      <c r="Z9">
        <v>8</v>
      </c>
      <c r="AA9" s="30" t="s">
        <v>723</v>
      </c>
      <c r="AB9" s="29" t="s">
        <v>719</v>
      </c>
    </row>
    <row r="10" spans="1:28" ht="60.75">
      <c r="A10" s="2">
        <v>9</v>
      </c>
      <c r="B10" s="30" t="s">
        <v>724</v>
      </c>
      <c r="C10" s="2">
        <v>0</v>
      </c>
      <c r="D10" s="2"/>
      <c r="E10" s="2"/>
      <c r="F10" s="2" t="str">
        <f>VLOOKUP(B10,QuestionariesSCARED_Parent,2,FALSE)</f>
        <v>Panic Disorder or Significant
Somatic Symptoms</v>
      </c>
      <c r="G10" s="2">
        <f t="shared" si="0"/>
        <v>0</v>
      </c>
      <c r="H10" s="2"/>
      <c r="I10" s="30"/>
      <c r="J10" s="2"/>
      <c r="S10"/>
      <c r="Z10">
        <v>9</v>
      </c>
      <c r="AA10" s="30" t="s">
        <v>724</v>
      </c>
      <c r="AB10" s="29" t="s">
        <v>712</v>
      </c>
    </row>
    <row r="11" spans="1:28" ht="45.75">
      <c r="A11" s="2">
        <v>10</v>
      </c>
      <c r="B11" s="30" t="s">
        <v>725</v>
      </c>
      <c r="C11" s="2">
        <v>0</v>
      </c>
      <c r="D11" s="2"/>
      <c r="E11" s="2"/>
      <c r="F11" s="2" t="str">
        <f>VLOOKUP(B11,QuestionariesSCARED_Parent,2,FALSE)</f>
        <v>Social Anxiety Disorder</v>
      </c>
      <c r="G11" s="2">
        <f t="shared" si="0"/>
        <v>0</v>
      </c>
      <c r="H11" s="2"/>
      <c r="I11" s="30"/>
      <c r="J11" s="2"/>
      <c r="S11"/>
      <c r="Z11">
        <v>10</v>
      </c>
      <c r="AA11" s="30" t="s">
        <v>725</v>
      </c>
      <c r="AB11" s="29" t="s">
        <v>717</v>
      </c>
    </row>
    <row r="12" spans="1:28" ht="45.75">
      <c r="A12" s="2">
        <v>11</v>
      </c>
      <c r="B12" s="30" t="s">
        <v>726</v>
      </c>
      <c r="C12" s="2"/>
      <c r="D12" s="2">
        <v>1</v>
      </c>
      <c r="E12" s="2"/>
      <c r="F12" s="2" t="str">
        <f>VLOOKUP(B12,QuestionariesSCARED_Parent,2,FALSE)</f>
        <v>School Avoidance</v>
      </c>
      <c r="G12" s="2">
        <f t="shared" si="0"/>
        <v>1</v>
      </c>
      <c r="H12" s="2"/>
      <c r="I12" s="30"/>
      <c r="J12" s="2"/>
      <c r="S12"/>
      <c r="Z12">
        <v>11</v>
      </c>
      <c r="AA12" s="30" t="s">
        <v>726</v>
      </c>
      <c r="AB12" s="29" t="s">
        <v>715</v>
      </c>
    </row>
    <row r="13" spans="1:28" ht="60.75">
      <c r="A13" s="2">
        <v>12</v>
      </c>
      <c r="B13" s="30" t="s">
        <v>727</v>
      </c>
      <c r="C13" s="2"/>
      <c r="D13" s="2">
        <v>1</v>
      </c>
      <c r="E13" s="2"/>
      <c r="F13" s="2" t="str">
        <f>VLOOKUP(B13,QuestionariesSCARED_Parent,2,FALSE)</f>
        <v>Panic Disorder or Significant
Somatic Symptoms</v>
      </c>
      <c r="G13" s="2">
        <f t="shared" si="0"/>
        <v>1</v>
      </c>
      <c r="H13" s="2"/>
      <c r="I13" s="30"/>
      <c r="J13" s="2"/>
      <c r="S13"/>
      <c r="Z13">
        <v>12</v>
      </c>
      <c r="AA13" s="30" t="s">
        <v>727</v>
      </c>
      <c r="AB13" s="29" t="s">
        <v>712</v>
      </c>
    </row>
    <row r="14" spans="1:28" ht="30.75">
      <c r="A14" s="2">
        <v>13</v>
      </c>
      <c r="B14" s="30" t="s">
        <v>728</v>
      </c>
      <c r="C14" s="2"/>
      <c r="D14" s="2">
        <v>1</v>
      </c>
      <c r="E14" s="2"/>
      <c r="F14" s="2" t="str">
        <f>VLOOKUP(B14,QuestionariesSCARED_Parent,2,FALSE)</f>
        <v>Separation Anxiety Disorder</v>
      </c>
      <c r="G14" s="2">
        <f t="shared" si="0"/>
        <v>1</v>
      </c>
      <c r="H14" s="2"/>
      <c r="I14" s="30"/>
      <c r="J14" s="2"/>
      <c r="S14"/>
      <c r="Z14">
        <v>13</v>
      </c>
      <c r="AA14" s="30" t="s">
        <v>728</v>
      </c>
      <c r="AB14" s="29" t="s">
        <v>719</v>
      </c>
    </row>
    <row r="15" spans="1:28" ht="45.75">
      <c r="A15" s="2">
        <v>14</v>
      </c>
      <c r="B15" s="30" t="s">
        <v>729</v>
      </c>
      <c r="C15" s="2"/>
      <c r="D15" s="2">
        <v>1</v>
      </c>
      <c r="E15" s="2"/>
      <c r="F15" s="2" t="str">
        <f>VLOOKUP(B15,QuestionariesSCARED_Parent,2,FALSE)</f>
        <v>Generalized Anxiety Disorder</v>
      </c>
      <c r="G15" s="2">
        <f t="shared" si="0"/>
        <v>1</v>
      </c>
      <c r="H15" s="2"/>
      <c r="I15" s="30"/>
      <c r="J15" s="2"/>
      <c r="S15"/>
      <c r="Z15">
        <v>14</v>
      </c>
      <c r="AA15" s="30" t="s">
        <v>729</v>
      </c>
      <c r="AB15" s="29" t="s">
        <v>714</v>
      </c>
    </row>
    <row r="16" spans="1:28" ht="60.75">
      <c r="A16" s="2">
        <v>15</v>
      </c>
      <c r="B16" s="30" t="s">
        <v>730</v>
      </c>
      <c r="C16" s="2"/>
      <c r="D16" s="2">
        <v>1</v>
      </c>
      <c r="E16" s="2"/>
      <c r="F16" s="2" t="str">
        <f>VLOOKUP(B16,QuestionariesSCARED_Parent,2,FALSE)</f>
        <v>Panic Disorder or Significant
Somatic Symptoms</v>
      </c>
      <c r="G16" s="2">
        <f t="shared" si="0"/>
        <v>1</v>
      </c>
      <c r="H16" s="2"/>
      <c r="I16" s="30"/>
      <c r="J16" s="2"/>
      <c r="S16"/>
      <c r="Z16">
        <v>15</v>
      </c>
      <c r="AA16" s="30" t="s">
        <v>730</v>
      </c>
      <c r="AB16" s="29" t="s">
        <v>712</v>
      </c>
    </row>
    <row r="17" spans="1:28" ht="76.5">
      <c r="A17" s="2">
        <v>16</v>
      </c>
      <c r="B17" s="30" t="s">
        <v>731</v>
      </c>
      <c r="C17" s="2"/>
      <c r="D17" s="2">
        <v>1</v>
      </c>
      <c r="E17" s="2"/>
      <c r="F17" s="2" t="str">
        <f>VLOOKUP(B17,QuestionariesSCARED_Parent,2,FALSE)</f>
        <v>Separation Anxiety Disorder</v>
      </c>
      <c r="G17" s="2">
        <f t="shared" si="0"/>
        <v>1</v>
      </c>
      <c r="H17" s="2"/>
      <c r="I17" s="30"/>
      <c r="J17" s="2"/>
      <c r="S17"/>
      <c r="Z17">
        <v>16</v>
      </c>
      <c r="AA17" s="30" t="s">
        <v>731</v>
      </c>
      <c r="AB17" s="29" t="s">
        <v>719</v>
      </c>
    </row>
    <row r="18" spans="1:28" ht="30.75">
      <c r="A18" s="2">
        <v>17</v>
      </c>
      <c r="B18" s="30" t="s">
        <v>732</v>
      </c>
      <c r="C18" s="2"/>
      <c r="D18" s="2">
        <v>1</v>
      </c>
      <c r="E18" s="2"/>
      <c r="F18" s="2" t="str">
        <f>VLOOKUP(B18,QuestionariesSCARED_Parent,2,FALSE)</f>
        <v>School Avoidance</v>
      </c>
      <c r="G18" s="2">
        <f t="shared" si="0"/>
        <v>1</v>
      </c>
      <c r="H18" s="2"/>
      <c r="I18" s="30"/>
      <c r="J18" s="2"/>
      <c r="S18"/>
      <c r="Z18">
        <v>17</v>
      </c>
      <c r="AA18" s="30" t="s">
        <v>732</v>
      </c>
      <c r="AB18" s="29" t="s">
        <v>715</v>
      </c>
    </row>
    <row r="19" spans="1:28" ht="60.75">
      <c r="A19" s="2">
        <v>18</v>
      </c>
      <c r="B19" s="30" t="s">
        <v>733</v>
      </c>
      <c r="C19" s="2"/>
      <c r="D19" s="2">
        <v>1</v>
      </c>
      <c r="E19" s="2"/>
      <c r="F19" s="2" t="str">
        <f>VLOOKUP(B19,QuestionariesSCARED_Parent,2,FALSE)</f>
        <v>Panic Disorder or Significant
Somatic Symptoms</v>
      </c>
      <c r="G19" s="2">
        <f t="shared" si="0"/>
        <v>1</v>
      </c>
      <c r="H19" s="2"/>
      <c r="I19" s="30"/>
      <c r="J19" s="2"/>
      <c r="S19"/>
      <c r="Z19">
        <v>18</v>
      </c>
      <c r="AA19" s="30" t="s">
        <v>733</v>
      </c>
      <c r="AB19" s="29" t="s">
        <v>712</v>
      </c>
    </row>
    <row r="20" spans="1:28" ht="60.75">
      <c r="A20" s="2">
        <v>19</v>
      </c>
      <c r="B20" s="30" t="s">
        <v>734</v>
      </c>
      <c r="C20" s="2"/>
      <c r="D20" s="2">
        <v>1</v>
      </c>
      <c r="E20" s="2"/>
      <c r="F20" s="2" t="str">
        <f>VLOOKUP(B20,QuestionariesSCARED_Parent,2,FALSE)</f>
        <v>Panic Disorder or Significant
Somatic Symptoms</v>
      </c>
      <c r="G20" s="2">
        <f t="shared" si="0"/>
        <v>1</v>
      </c>
      <c r="H20" s="2"/>
      <c r="I20" s="30"/>
      <c r="J20" s="2"/>
      <c r="Z20">
        <v>19</v>
      </c>
      <c r="AA20" s="30" t="s">
        <v>734</v>
      </c>
      <c r="AB20" s="29" t="s">
        <v>712</v>
      </c>
    </row>
    <row r="21" spans="1:28" ht="60.75">
      <c r="A21" s="2">
        <v>20</v>
      </c>
      <c r="B21" s="30" t="s">
        <v>735</v>
      </c>
      <c r="C21" s="2"/>
      <c r="D21" s="2">
        <v>1</v>
      </c>
      <c r="E21" s="2"/>
      <c r="F21" s="2" t="str">
        <f>VLOOKUP(B21,QuestionariesSCARED_Parent,2,FALSE)</f>
        <v>Separation Anxiety Disorder</v>
      </c>
      <c r="G21" s="2">
        <f t="shared" si="0"/>
        <v>1</v>
      </c>
      <c r="H21" s="2"/>
      <c r="I21" s="30"/>
      <c r="J21" s="2"/>
      <c r="Z21">
        <v>20</v>
      </c>
      <c r="AA21" s="30" t="s">
        <v>735</v>
      </c>
      <c r="AB21" s="29" t="s">
        <v>719</v>
      </c>
    </row>
    <row r="22" spans="1:28" ht="45.75">
      <c r="A22" s="2">
        <v>21</v>
      </c>
      <c r="B22" s="30" t="s">
        <v>736</v>
      </c>
      <c r="C22" s="2"/>
      <c r="D22" s="2"/>
      <c r="E22" s="2">
        <v>2</v>
      </c>
      <c r="F22" s="2" t="str">
        <f>VLOOKUP(B22,QuestionariesSCARED_Parent,2,FALSE)</f>
        <v>Generalized Anxiety Disorder</v>
      </c>
      <c r="G22" s="2">
        <f t="shared" si="0"/>
        <v>2</v>
      </c>
      <c r="H22" s="2"/>
      <c r="I22" s="30"/>
      <c r="J22" s="2"/>
      <c r="Z22">
        <v>21</v>
      </c>
      <c r="AA22" s="30" t="s">
        <v>736</v>
      </c>
      <c r="AB22" s="29" t="s">
        <v>714</v>
      </c>
    </row>
    <row r="23" spans="1:28" ht="60.75">
      <c r="A23" s="2">
        <v>22</v>
      </c>
      <c r="B23" s="30" t="s">
        <v>737</v>
      </c>
      <c r="C23" s="2"/>
      <c r="D23" s="2"/>
      <c r="E23" s="2">
        <v>2</v>
      </c>
      <c r="F23" s="2" t="str">
        <f>VLOOKUP(B23,QuestionariesSCARED_Parent,2,FALSE)</f>
        <v>Panic Disorder or Significant
Somatic Symptoms</v>
      </c>
      <c r="G23" s="2">
        <f t="shared" si="0"/>
        <v>2</v>
      </c>
      <c r="H23" s="2"/>
      <c r="I23" s="30"/>
      <c r="J23" s="2"/>
      <c r="Z23">
        <v>22</v>
      </c>
      <c r="AA23" s="30" t="s">
        <v>737</v>
      </c>
      <c r="AB23" s="29" t="s">
        <v>712</v>
      </c>
    </row>
    <row r="24" spans="1:28" ht="30.75">
      <c r="A24" s="2">
        <v>23</v>
      </c>
      <c r="B24" s="30" t="s">
        <v>738</v>
      </c>
      <c r="C24" s="2"/>
      <c r="D24" s="2"/>
      <c r="E24" s="2">
        <v>2</v>
      </c>
      <c r="F24" s="2" t="str">
        <f>VLOOKUP(B24,QuestionariesSCARED_Parent,2,FALSE)</f>
        <v>Generalized Anxiety Disorder</v>
      </c>
      <c r="G24" s="2">
        <f t="shared" si="0"/>
        <v>2</v>
      </c>
      <c r="H24" s="2"/>
      <c r="I24" s="30"/>
      <c r="J24" s="2"/>
      <c r="Z24">
        <v>23</v>
      </c>
      <c r="AA24" s="30" t="s">
        <v>738</v>
      </c>
      <c r="AB24" s="29" t="s">
        <v>714</v>
      </c>
    </row>
    <row r="25" spans="1:28" ht="60.75">
      <c r="A25" s="2">
        <v>24</v>
      </c>
      <c r="B25" s="30" t="s">
        <v>739</v>
      </c>
      <c r="C25" s="2"/>
      <c r="D25" s="2"/>
      <c r="E25" s="2">
        <v>2</v>
      </c>
      <c r="F25" s="2" t="str">
        <f>VLOOKUP(B25,QuestionariesSCARED_Parent,2,FALSE)</f>
        <v>Panic Disorder or Significant
Somatic Symptoms</v>
      </c>
      <c r="G25" s="2">
        <f t="shared" si="0"/>
        <v>2</v>
      </c>
      <c r="H25" s="2"/>
      <c r="I25" s="30"/>
      <c r="J25" s="2"/>
      <c r="Z25">
        <v>24</v>
      </c>
      <c r="AA25" s="30" t="s">
        <v>739</v>
      </c>
      <c r="AB25" s="29" t="s">
        <v>712</v>
      </c>
    </row>
    <row r="26" spans="1:28" ht="30.75">
      <c r="A26" s="2">
        <v>25</v>
      </c>
      <c r="B26" s="30" t="s">
        <v>740</v>
      </c>
      <c r="C26" s="2"/>
      <c r="D26" s="2"/>
      <c r="E26" s="2">
        <v>2</v>
      </c>
      <c r="F26" s="2" t="str">
        <f>VLOOKUP(B26,QuestionariesSCARED_Parent,2,FALSE)</f>
        <v>Separation Anxiety Disorder</v>
      </c>
      <c r="G26" s="2">
        <f t="shared" si="0"/>
        <v>2</v>
      </c>
      <c r="H26" s="2"/>
      <c r="I26" s="30"/>
      <c r="J26" s="2"/>
      <c r="Z26">
        <v>25</v>
      </c>
      <c r="AA26" s="30" t="s">
        <v>740</v>
      </c>
      <c r="AB26" s="29" t="s">
        <v>719</v>
      </c>
    </row>
    <row r="27" spans="1:28" ht="45.75">
      <c r="A27" s="2">
        <v>26</v>
      </c>
      <c r="B27" s="30" t="s">
        <v>741</v>
      </c>
      <c r="C27" s="2"/>
      <c r="D27" s="2"/>
      <c r="E27" s="2">
        <v>2</v>
      </c>
      <c r="F27" s="2" t="str">
        <f>VLOOKUP(B27,QuestionariesSCARED_Parent,2,FALSE)</f>
        <v>Social Anxiety Disorder</v>
      </c>
      <c r="G27" s="2">
        <f t="shared" si="0"/>
        <v>2</v>
      </c>
      <c r="H27" s="2"/>
      <c r="I27" s="30"/>
      <c r="J27" s="2"/>
      <c r="Z27">
        <v>26</v>
      </c>
      <c r="AA27" s="30" t="s">
        <v>741</v>
      </c>
      <c r="AB27" s="29" t="s">
        <v>717</v>
      </c>
    </row>
    <row r="28" spans="1:28" ht="60.75">
      <c r="A28" s="2">
        <v>27</v>
      </c>
      <c r="B28" s="30" t="s">
        <v>742</v>
      </c>
      <c r="C28" s="2"/>
      <c r="D28" s="2"/>
      <c r="E28" s="2">
        <v>2</v>
      </c>
      <c r="F28" s="2" t="str">
        <f>VLOOKUP(B28,QuestionariesSCARED_Parent,2,FALSE)</f>
        <v>Panic Disorder or Significant
Somatic Symptoms</v>
      </c>
      <c r="G28" s="2">
        <f t="shared" si="0"/>
        <v>2</v>
      </c>
      <c r="H28" s="2"/>
      <c r="I28" s="30"/>
      <c r="J28" s="2"/>
      <c r="Z28">
        <v>27</v>
      </c>
      <c r="AA28" s="30" t="s">
        <v>742</v>
      </c>
      <c r="AB28" s="29" t="s">
        <v>712</v>
      </c>
    </row>
    <row r="29" spans="1:28" ht="30.75">
      <c r="A29" s="2">
        <v>28</v>
      </c>
      <c r="B29" s="30" t="s">
        <v>743</v>
      </c>
      <c r="C29" s="2"/>
      <c r="D29" s="2"/>
      <c r="E29" s="2">
        <v>2</v>
      </c>
      <c r="F29" s="2" t="str">
        <f>VLOOKUP(B29,QuestionariesSCARED_Parent,2,FALSE)</f>
        <v>Generalized Anxiety Disorder</v>
      </c>
      <c r="G29" s="2">
        <f t="shared" si="0"/>
        <v>2</v>
      </c>
      <c r="H29" s="2"/>
      <c r="I29" s="30"/>
      <c r="J29" s="2"/>
      <c r="Z29">
        <v>28</v>
      </c>
      <c r="AA29" s="30" t="s">
        <v>743</v>
      </c>
      <c r="AB29" s="29" t="s">
        <v>714</v>
      </c>
    </row>
    <row r="30" spans="1:28" ht="45.75">
      <c r="A30" s="2">
        <v>29</v>
      </c>
      <c r="B30" s="30" t="s">
        <v>744</v>
      </c>
      <c r="C30" s="2"/>
      <c r="D30" s="2"/>
      <c r="E30" s="2">
        <v>2</v>
      </c>
      <c r="F30" s="2" t="str">
        <f>VLOOKUP(B30,QuestionariesSCARED_Parent,2,FALSE)</f>
        <v>Separation Anxiety Disorder</v>
      </c>
      <c r="G30" s="2">
        <f t="shared" si="0"/>
        <v>2</v>
      </c>
      <c r="H30" s="2"/>
      <c r="I30" s="30"/>
      <c r="J30" s="2"/>
      <c r="Z30">
        <v>29</v>
      </c>
      <c r="AA30" s="30" t="s">
        <v>744</v>
      </c>
      <c r="AB30" s="29" t="s">
        <v>719</v>
      </c>
    </row>
    <row r="31" spans="1:28" ht="60.75">
      <c r="A31" s="2">
        <v>30</v>
      </c>
      <c r="B31" s="30" t="s">
        <v>745</v>
      </c>
      <c r="C31" s="2"/>
      <c r="D31" s="2"/>
      <c r="E31" s="2">
        <v>2</v>
      </c>
      <c r="F31" s="2" t="str">
        <f>VLOOKUP(B31,QuestionariesSCARED_Parent,2,FALSE)</f>
        <v>Panic Disorder or Significant
Somatic Symptoms</v>
      </c>
      <c r="G31" s="2">
        <f t="shared" si="0"/>
        <v>2</v>
      </c>
      <c r="H31" s="2"/>
      <c r="I31" s="30"/>
      <c r="J31" s="2"/>
      <c r="Z31">
        <v>30</v>
      </c>
      <c r="AA31" s="30" t="s">
        <v>745</v>
      </c>
      <c r="AB31" s="29" t="s">
        <v>712</v>
      </c>
    </row>
    <row r="32" spans="1:28" ht="60.75">
      <c r="A32" s="2">
        <v>31</v>
      </c>
      <c r="B32" s="30" t="s">
        <v>746</v>
      </c>
      <c r="C32" s="2">
        <v>0</v>
      </c>
      <c r="D32" s="2"/>
      <c r="E32" s="2"/>
      <c r="F32" s="2" t="str">
        <f>VLOOKUP(B32,QuestionariesSCARED_Parent,2,FALSE)</f>
        <v>Separation Anxiety Disorder</v>
      </c>
      <c r="G32" s="2">
        <f t="shared" si="0"/>
        <v>0</v>
      </c>
      <c r="H32" s="2"/>
      <c r="I32" s="30"/>
      <c r="J32" s="2"/>
      <c r="Z32">
        <v>31</v>
      </c>
      <c r="AA32" s="30" t="s">
        <v>746</v>
      </c>
      <c r="AB32" s="29" t="s">
        <v>719</v>
      </c>
    </row>
    <row r="33" spans="1:28" ht="45.75">
      <c r="A33" s="2">
        <v>32</v>
      </c>
      <c r="B33" s="30" t="s">
        <v>747</v>
      </c>
      <c r="C33" s="2">
        <v>0</v>
      </c>
      <c r="D33" s="2"/>
      <c r="E33" s="2"/>
      <c r="F33" s="2" t="str">
        <f>VLOOKUP(B33,QuestionariesSCARED_Parent,2,FALSE)</f>
        <v>Social Anxiety Disorder</v>
      </c>
      <c r="G33" s="2">
        <f t="shared" si="0"/>
        <v>0</v>
      </c>
      <c r="H33" s="2"/>
      <c r="I33" s="30"/>
      <c r="J33" s="2"/>
      <c r="Z33">
        <v>32</v>
      </c>
      <c r="AA33" s="30" t="s">
        <v>747</v>
      </c>
      <c r="AB33" s="29" t="s">
        <v>717</v>
      </c>
    </row>
    <row r="34" spans="1:28" ht="45.75">
      <c r="A34" s="2">
        <v>33</v>
      </c>
      <c r="B34" s="30" t="s">
        <v>748</v>
      </c>
      <c r="C34" s="2">
        <v>0</v>
      </c>
      <c r="D34" s="2"/>
      <c r="E34" s="2"/>
      <c r="F34" s="2" t="str">
        <f>VLOOKUP(B34,QuestionariesSCARED_Parent,2,FALSE)</f>
        <v>Generalized Anxiety Disorder</v>
      </c>
      <c r="G34" s="2">
        <f t="shared" si="0"/>
        <v>0</v>
      </c>
      <c r="H34" s="2"/>
      <c r="I34" s="30"/>
      <c r="J34" s="2"/>
      <c r="Z34">
        <v>33</v>
      </c>
      <c r="AA34" s="30" t="s">
        <v>748</v>
      </c>
      <c r="AB34" s="29" t="s">
        <v>714</v>
      </c>
    </row>
    <row r="35" spans="1:28" ht="60.75">
      <c r="A35" s="2">
        <v>34</v>
      </c>
      <c r="B35" s="30" t="s">
        <v>749</v>
      </c>
      <c r="C35" s="2"/>
      <c r="D35" s="2">
        <v>1</v>
      </c>
      <c r="E35" s="2"/>
      <c r="F35" s="2" t="str">
        <f>VLOOKUP(B35,QuestionariesSCARED_Parent,2,FALSE)</f>
        <v>Panic Disorder or Significant
Somatic Symptoms</v>
      </c>
      <c r="G35" s="2">
        <f t="shared" si="0"/>
        <v>1</v>
      </c>
      <c r="H35" s="2"/>
      <c r="I35" s="30"/>
      <c r="J35" s="2"/>
      <c r="Z35">
        <v>34</v>
      </c>
      <c r="AA35" s="30" t="s">
        <v>749</v>
      </c>
      <c r="AB35" s="29" t="s">
        <v>712</v>
      </c>
    </row>
    <row r="36" spans="1:28" ht="45.75">
      <c r="A36" s="2">
        <v>35</v>
      </c>
      <c r="B36" s="30" t="s">
        <v>750</v>
      </c>
      <c r="C36" s="2"/>
      <c r="D36" s="2">
        <v>1</v>
      </c>
      <c r="E36" s="2"/>
      <c r="F36" s="2" t="str">
        <f>VLOOKUP(B36,QuestionariesSCARED_Parent,2,FALSE)</f>
        <v>Generalized Anxiety Disorder</v>
      </c>
      <c r="G36" s="2">
        <f t="shared" si="0"/>
        <v>1</v>
      </c>
      <c r="H36" s="2"/>
      <c r="I36" s="30"/>
      <c r="J36" s="2"/>
      <c r="Z36">
        <v>35</v>
      </c>
      <c r="AA36" s="30" t="s">
        <v>750</v>
      </c>
      <c r="AB36" s="29" t="s">
        <v>714</v>
      </c>
    </row>
    <row r="37" spans="1:28" ht="30.75">
      <c r="A37" s="2">
        <v>36</v>
      </c>
      <c r="B37" s="30" t="s">
        <v>751</v>
      </c>
      <c r="C37" s="2"/>
      <c r="D37" s="2">
        <v>1</v>
      </c>
      <c r="E37" s="2"/>
      <c r="F37" s="2" t="str">
        <f>VLOOKUP(B37,QuestionariesSCARED_Parent,2,FALSE)</f>
        <v>School Avoidance</v>
      </c>
      <c r="G37" s="2">
        <f t="shared" si="0"/>
        <v>1</v>
      </c>
      <c r="H37" s="2"/>
      <c r="I37" s="30"/>
      <c r="J37" s="2"/>
      <c r="Z37">
        <v>36</v>
      </c>
      <c r="AA37" s="30" t="s">
        <v>751</v>
      </c>
      <c r="AB37" s="29" t="s">
        <v>715</v>
      </c>
    </row>
    <row r="38" spans="1:28" ht="45.75">
      <c r="A38" s="2">
        <v>37</v>
      </c>
      <c r="B38" s="30" t="s">
        <v>752</v>
      </c>
      <c r="C38" s="2"/>
      <c r="D38" s="2">
        <v>1</v>
      </c>
      <c r="E38" s="2"/>
      <c r="F38" s="2" t="str">
        <f>VLOOKUP(B38,QuestionariesSCARED_Parent,2,FALSE)</f>
        <v>Generalized Anxiety Disorder</v>
      </c>
      <c r="G38" s="2">
        <f t="shared" si="0"/>
        <v>1</v>
      </c>
      <c r="H38" s="2"/>
      <c r="I38" s="30"/>
      <c r="J38" s="2"/>
      <c r="Z38">
        <v>37</v>
      </c>
      <c r="AA38" s="30" t="s">
        <v>752</v>
      </c>
      <c r="AB38" s="29" t="s">
        <v>714</v>
      </c>
    </row>
    <row r="39" spans="1:28" ht="60.75">
      <c r="A39" s="2">
        <v>38</v>
      </c>
      <c r="B39" s="30" t="s">
        <v>753</v>
      </c>
      <c r="C39" s="2"/>
      <c r="D39" s="2">
        <v>1</v>
      </c>
      <c r="E39" s="2"/>
      <c r="F39" s="2" t="str">
        <f>VLOOKUP(B39,QuestionariesSCARED_Parent,2,FALSE)</f>
        <v>Panic Disorder or Significant
Somatic Symptoms</v>
      </c>
      <c r="G39" s="2">
        <f t="shared" si="0"/>
        <v>1</v>
      </c>
      <c r="H39" s="2"/>
      <c r="I39" s="30"/>
      <c r="J39" s="2"/>
      <c r="Z39">
        <v>38</v>
      </c>
      <c r="AA39" s="30" t="s">
        <v>753</v>
      </c>
      <c r="AB39" s="29" t="s">
        <v>712</v>
      </c>
    </row>
    <row r="40" spans="1:28" ht="129.75" customHeight="1">
      <c r="A40" s="2">
        <v>39</v>
      </c>
      <c r="B40" s="30" t="s">
        <v>754</v>
      </c>
      <c r="C40" s="2"/>
      <c r="D40" s="2"/>
      <c r="E40" s="2">
        <v>2</v>
      </c>
      <c r="F40" s="2" t="str">
        <f>VLOOKUP(B40,QuestionariesSCARED_Parent,2,FALSE)</f>
        <v>Social Anxiety Disorder</v>
      </c>
      <c r="G40" s="2">
        <f t="shared" si="0"/>
        <v>2</v>
      </c>
      <c r="H40" s="2"/>
      <c r="I40" s="30"/>
      <c r="J40" s="2"/>
      <c r="Z40">
        <v>39</v>
      </c>
      <c r="AA40" s="30" t="s">
        <v>754</v>
      </c>
      <c r="AB40" s="29" t="s">
        <v>717</v>
      </c>
    </row>
    <row r="41" spans="1:28" ht="104.25" customHeight="1">
      <c r="A41" s="2">
        <v>40</v>
      </c>
      <c r="B41" s="30" t="s">
        <v>755</v>
      </c>
      <c r="C41" s="2"/>
      <c r="D41" s="2"/>
      <c r="E41" s="2">
        <v>2</v>
      </c>
      <c r="F41" s="2" t="str">
        <f>VLOOKUP(B41,QuestionariesSCARED_Parent,2,FALSE)</f>
        <v>Social Anxiety Disorder</v>
      </c>
      <c r="G41" s="2">
        <f t="shared" si="0"/>
        <v>2</v>
      </c>
      <c r="H41" s="2"/>
      <c r="I41" s="30"/>
      <c r="J41" s="2"/>
      <c r="Z41">
        <v>40</v>
      </c>
      <c r="AA41" s="30" t="s">
        <v>755</v>
      </c>
      <c r="AB41" s="29" t="s">
        <v>717</v>
      </c>
    </row>
    <row r="42" spans="1:28" ht="30.75">
      <c r="A42" s="2">
        <v>41</v>
      </c>
      <c r="B42" s="30" t="s">
        <v>756</v>
      </c>
      <c r="C42" s="2"/>
      <c r="D42" s="2"/>
      <c r="E42" s="2">
        <v>2</v>
      </c>
      <c r="F42" s="2" t="str">
        <f>VLOOKUP(B42,QuestionariesSCARED_Parent,2,FALSE)</f>
        <v>Social Anxiety Disorder</v>
      </c>
      <c r="G42" s="2">
        <f t="shared" si="0"/>
        <v>2</v>
      </c>
      <c r="H42" s="2"/>
      <c r="I42" s="30"/>
      <c r="J42" s="2"/>
      <c r="Z42">
        <v>41</v>
      </c>
      <c r="AA42" s="30" t="s">
        <v>756</v>
      </c>
      <c r="AB42" s="29" t="s">
        <v>717</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17EA-4B4B-4F38-9100-62F0A22E35E9}">
  <dimension ref="A1:AC42"/>
  <sheetViews>
    <sheetView topLeftCell="A40" workbookViewId="0">
      <selection activeCell="C2" sqref="C2:E42"/>
    </sheetView>
  </sheetViews>
  <sheetFormatPr defaultRowHeight="15"/>
  <cols>
    <col min="2" max="2" width="45.140625" style="29" customWidth="1"/>
    <col min="3" max="3" width="17.42578125" customWidth="1"/>
    <col min="4" max="4" width="16.5703125" customWidth="1"/>
    <col min="6" max="7" width="39" customWidth="1"/>
    <col min="8" max="8" width="22.28515625" customWidth="1"/>
    <col min="9" max="9" width="29.7109375" customWidth="1"/>
    <col min="14" max="14" width="26.28515625" bestFit="1" customWidth="1"/>
    <col min="15" max="15" width="13.140625" bestFit="1" customWidth="1"/>
    <col min="17" max="17" width="13.140625" bestFit="1" customWidth="1"/>
    <col min="18" max="18" width="41.7109375" bestFit="1" customWidth="1"/>
    <col min="19" max="19" width="18.140625" style="23" bestFit="1" customWidth="1"/>
    <col min="20" max="20" width="26.7109375" style="100" customWidth="1"/>
    <col min="28" max="28" width="20.85546875" customWidth="1"/>
    <col min="29" max="29" width="16.42578125" style="29" customWidth="1"/>
  </cols>
  <sheetData>
    <row r="1" spans="1:29" ht="71.25" customHeight="1">
      <c r="A1" s="95" t="s">
        <v>1</v>
      </c>
      <c r="B1" s="96" t="s">
        <v>81</v>
      </c>
      <c r="C1" s="96" t="s">
        <v>705</v>
      </c>
      <c r="D1" s="96" t="s">
        <v>706</v>
      </c>
      <c r="E1" s="96" t="s">
        <v>707</v>
      </c>
      <c r="F1" s="96" t="s">
        <v>363</v>
      </c>
      <c r="G1" s="96" t="s">
        <v>708</v>
      </c>
      <c r="H1" s="2" t="s">
        <v>709</v>
      </c>
      <c r="I1" s="2"/>
      <c r="J1" s="2"/>
    </row>
    <row r="2" spans="1:29" ht="15" customHeight="1">
      <c r="A2" s="2">
        <v>1</v>
      </c>
      <c r="B2" s="30" t="s">
        <v>710</v>
      </c>
      <c r="C2" s="2">
        <v>0</v>
      </c>
      <c r="D2" s="2"/>
      <c r="E2" s="2"/>
      <c r="F2" s="2" t="str">
        <f>VLOOKUP(B2,QuestionariesSCARED,2,FALSE)</f>
        <v>Panic Disorder or Significant
Somatic Symptoms</v>
      </c>
      <c r="G2" s="2">
        <f>SUM(C2+D2+E2)</f>
        <v>0</v>
      </c>
      <c r="H2" s="2">
        <f>SUM(C2:E42)</f>
        <v>41</v>
      </c>
      <c r="I2" s="2" t="str">
        <f>IF(SUM(C2:E42)&gt;=25,"May indicate the presence of an anxiety disorder", "More specific indicates the presence of an anxiety disorder")</f>
        <v>May indicate the presence of an anxiety disorder</v>
      </c>
      <c r="J2" s="2"/>
      <c r="R2" s="97" t="s">
        <v>363</v>
      </c>
      <c r="S2" s="99" t="s">
        <v>711</v>
      </c>
      <c r="T2" s="102" t="s">
        <v>369</v>
      </c>
      <c r="AA2">
        <v>1</v>
      </c>
      <c r="AB2" s="30" t="s">
        <v>710</v>
      </c>
      <c r="AC2" s="29" t="s">
        <v>712</v>
      </c>
    </row>
    <row r="3" spans="1:29" ht="45.75">
      <c r="A3" s="2">
        <v>2</v>
      </c>
      <c r="B3" s="30" t="s">
        <v>713</v>
      </c>
      <c r="C3" s="2">
        <v>0</v>
      </c>
      <c r="D3" s="2"/>
      <c r="E3" s="2"/>
      <c r="F3" s="2" t="str">
        <f>VLOOKUP(B3,QuestionariesSCARED,2,FALSE)</f>
        <v>School Avoidance</v>
      </c>
      <c r="G3" s="2">
        <f t="shared" ref="G3:G42" si="0">SUM(C3+D3+E3)</f>
        <v>0</v>
      </c>
      <c r="H3" s="2"/>
      <c r="I3" s="2" t="str">
        <f>IF(SUM(C2:E2,C7:E7,C10:E10,C13:E13,C16:E16,C19:E19,C20:E20,C23:E23,C25:E25,C28:E28,C31:E31,C35:E35,C39:E39)=7, "Panic Disorder or Significant Somatic Symptoms", "No Panic Disorder")</f>
        <v>No Panic Disorder</v>
      </c>
      <c r="J3" s="2"/>
      <c r="R3" s="98" t="s">
        <v>714</v>
      </c>
      <c r="S3" s="99">
        <v>9</v>
      </c>
      <c r="T3" s="101" t="str">
        <f>IF(SUM(S3)=9,"May indicate generalized anxiety disorder","More specific indicates the presence of generalized anxiety disorder")</f>
        <v>May indicate generalized anxiety disorder</v>
      </c>
      <c r="AA3">
        <v>2</v>
      </c>
      <c r="AB3" s="30" t="s">
        <v>713</v>
      </c>
      <c r="AC3" s="29" t="s">
        <v>715</v>
      </c>
    </row>
    <row r="4" spans="1:29" ht="45.75">
      <c r="A4" s="2">
        <v>3</v>
      </c>
      <c r="B4" s="30" t="s">
        <v>716</v>
      </c>
      <c r="C4" s="2">
        <v>0</v>
      </c>
      <c r="D4" s="2"/>
      <c r="E4" s="2"/>
      <c r="F4" s="2" t="str">
        <f>VLOOKUP(B4,QuestionariesSCARED,2,FALSE)</f>
        <v>Social Anxiety Disorder</v>
      </c>
      <c r="G4" s="2">
        <f t="shared" si="0"/>
        <v>0</v>
      </c>
      <c r="H4" s="2"/>
      <c r="I4" s="2" t="str">
        <f>IF(SUM(C6:E6,C8:E8,C15:E15,C22:E22,C24:E24,C29:E29,C34:E34,C36:E36,C38:E38)&gt;=9,"May indicates Generalized Anxiety Disorder","No Generalized Anxiety Disorder")</f>
        <v>May indicates Generalized Anxiety Disorder</v>
      </c>
      <c r="J4" s="2"/>
      <c r="R4" s="98" t="s">
        <v>715</v>
      </c>
      <c r="S4" s="99">
        <v>3</v>
      </c>
      <c r="T4" s="101" t="str">
        <f>IF(SUM(S4)=3,"May indicate school avoidance","More specific indicates the presence of school avoidance")</f>
        <v>May indicate school avoidance</v>
      </c>
      <c r="AA4">
        <v>3</v>
      </c>
      <c r="AB4" s="30" t="s">
        <v>716</v>
      </c>
      <c r="AC4" s="29" t="s">
        <v>717</v>
      </c>
    </row>
    <row r="5" spans="1:29" ht="45.75">
      <c r="A5" s="2">
        <v>4</v>
      </c>
      <c r="B5" s="30" t="s">
        <v>718</v>
      </c>
      <c r="C5" s="2">
        <v>0</v>
      </c>
      <c r="D5" s="2"/>
      <c r="E5" s="2"/>
      <c r="F5" s="2" t="str">
        <f>VLOOKUP(B5,QuestionariesSCARED,2,FALSE)</f>
        <v>Separation Anxiety Disorder</v>
      </c>
      <c r="G5" s="2">
        <f t="shared" si="0"/>
        <v>0</v>
      </c>
      <c r="H5" s="2"/>
      <c r="I5" s="2"/>
      <c r="J5" s="2"/>
      <c r="R5" s="98" t="s">
        <v>719</v>
      </c>
      <c r="S5" s="99">
        <v>7</v>
      </c>
      <c r="T5" s="101" t="str">
        <f>IF(SUM(S5)=5,"May indicate separation anxiety disorder","More specific indicates the presence of separation anxiety disorder")</f>
        <v>More specific indicates the presence of separation anxiety disorder</v>
      </c>
      <c r="AA5">
        <v>4</v>
      </c>
      <c r="AB5" s="30" t="s">
        <v>718</v>
      </c>
      <c r="AC5" s="29" t="s">
        <v>719</v>
      </c>
    </row>
    <row r="6" spans="1:29" ht="45.75">
      <c r="A6" s="2">
        <v>5</v>
      </c>
      <c r="B6" s="30" t="s">
        <v>720</v>
      </c>
      <c r="C6" s="2">
        <v>0</v>
      </c>
      <c r="D6" s="2"/>
      <c r="E6" s="2"/>
      <c r="F6" s="2" t="str">
        <f>VLOOKUP(B6,QuestionariesSCARED,2,FALSE)</f>
        <v>Generalized Anxiety Disorder</v>
      </c>
      <c r="G6" s="2">
        <f t="shared" si="0"/>
        <v>0</v>
      </c>
      <c r="H6" s="2"/>
      <c r="I6" s="2"/>
      <c r="J6" s="2"/>
      <c r="R6" s="98" t="s">
        <v>717</v>
      </c>
      <c r="S6" s="99">
        <v>8</v>
      </c>
      <c r="T6" s="101" t="str">
        <f>IF(SUM(S6)=8,"May indicate social anxiety disorder","More specific indicates the presence of social anxiety disorder")</f>
        <v>May indicate social anxiety disorder</v>
      </c>
      <c r="AA6">
        <v>5</v>
      </c>
      <c r="AB6" s="30" t="s">
        <v>720</v>
      </c>
      <c r="AC6" s="29" t="s">
        <v>714</v>
      </c>
    </row>
    <row r="7" spans="1:29" ht="60.75">
      <c r="A7" s="2">
        <v>6</v>
      </c>
      <c r="B7" s="30" t="s">
        <v>721</v>
      </c>
      <c r="C7" s="2">
        <v>0</v>
      </c>
      <c r="D7" s="2"/>
      <c r="E7" s="2"/>
      <c r="F7" s="2" t="str">
        <f>VLOOKUP(B7,QuestionariesSCARED,2,FALSE)</f>
        <v>Panic Disorder or Significant
Somatic Symptoms</v>
      </c>
      <c r="G7" s="2">
        <f t="shared" si="0"/>
        <v>0</v>
      </c>
      <c r="H7" s="2"/>
      <c r="I7" s="2"/>
      <c r="J7" s="2"/>
      <c r="R7" s="98" t="s">
        <v>712</v>
      </c>
      <c r="S7" s="99">
        <v>14</v>
      </c>
      <c r="T7" s="101" t="str">
        <f>IF(SUM(S3:S6)=7,"May indicate panic disorder or significant somatic symptoms","More specific indicates the presence of panic disorder")</f>
        <v>More specific indicates the presence of panic disorder</v>
      </c>
      <c r="AA7">
        <v>6</v>
      </c>
      <c r="AB7" s="30" t="s">
        <v>721</v>
      </c>
      <c r="AC7" s="29" t="s">
        <v>712</v>
      </c>
    </row>
    <row r="8" spans="1:29" ht="30.75">
      <c r="A8" s="2">
        <v>7</v>
      </c>
      <c r="B8" s="30" t="s">
        <v>722</v>
      </c>
      <c r="C8" s="2">
        <v>0</v>
      </c>
      <c r="D8" s="2"/>
      <c r="E8" s="2"/>
      <c r="F8" s="2" t="str">
        <f>VLOOKUP(B8,QuestionariesSCARED,2,FALSE)</f>
        <v>Generalized Anxiety Disorder</v>
      </c>
      <c r="G8" s="2">
        <f t="shared" si="0"/>
        <v>0</v>
      </c>
      <c r="H8" s="2"/>
      <c r="I8" s="2"/>
      <c r="J8" s="2"/>
      <c r="R8" s="98" t="s">
        <v>347</v>
      </c>
      <c r="S8" s="99">
        <v>41</v>
      </c>
      <c r="T8" s="100" t="str">
        <f>IF(SUM(S3:S6)&gt;=25,"May indicate the presence of an anxiety disorder","More specific indicates the presence of an anxiety disorder")</f>
        <v>May indicate the presence of an anxiety disorder</v>
      </c>
      <c r="AA8">
        <v>7</v>
      </c>
      <c r="AB8" s="30" t="s">
        <v>722</v>
      </c>
      <c r="AC8" s="29" t="s">
        <v>714</v>
      </c>
    </row>
    <row r="9" spans="1:29" ht="30.75">
      <c r="A9" s="2">
        <v>8</v>
      </c>
      <c r="B9" s="30" t="s">
        <v>723</v>
      </c>
      <c r="C9" s="2">
        <v>0</v>
      </c>
      <c r="D9" s="2"/>
      <c r="E9" s="2"/>
      <c r="F9" s="2" t="str">
        <f>VLOOKUP(B9,QuestionariesSCARED,2,FALSE)</f>
        <v>Separation Anxiety Disorder</v>
      </c>
      <c r="G9" s="2">
        <f t="shared" si="0"/>
        <v>0</v>
      </c>
      <c r="H9" s="2"/>
      <c r="I9" s="2"/>
      <c r="J9" s="2"/>
      <c r="S9"/>
      <c r="AA9">
        <v>8</v>
      </c>
      <c r="AB9" s="30" t="s">
        <v>723</v>
      </c>
      <c r="AC9" s="29" t="s">
        <v>719</v>
      </c>
    </row>
    <row r="10" spans="1:29" ht="60.75">
      <c r="A10" s="2">
        <v>9</v>
      </c>
      <c r="B10" s="30" t="s">
        <v>724</v>
      </c>
      <c r="C10" s="2">
        <v>0</v>
      </c>
      <c r="D10" s="2"/>
      <c r="E10" s="2"/>
      <c r="F10" s="2" t="str">
        <f>VLOOKUP(B10,QuestionariesSCARED,2,FALSE)</f>
        <v>Panic Disorder or Significant
Somatic Symptoms</v>
      </c>
      <c r="G10" s="2">
        <f t="shared" si="0"/>
        <v>0</v>
      </c>
      <c r="H10" s="2"/>
      <c r="I10" s="2"/>
      <c r="J10" s="2"/>
      <c r="AA10">
        <v>9</v>
      </c>
      <c r="AB10" s="30" t="s">
        <v>724</v>
      </c>
      <c r="AC10" s="29" t="s">
        <v>712</v>
      </c>
    </row>
    <row r="11" spans="1:29" ht="45.75">
      <c r="A11" s="2">
        <v>10</v>
      </c>
      <c r="B11" s="30" t="s">
        <v>725</v>
      </c>
      <c r="C11" s="2">
        <v>0</v>
      </c>
      <c r="D11" s="2"/>
      <c r="E11" s="2"/>
      <c r="F11" s="2" t="str">
        <f>VLOOKUP(B11,QuestionariesSCARED,2,FALSE)</f>
        <v>Social Anxiety Disorder</v>
      </c>
      <c r="G11" s="2">
        <f t="shared" si="0"/>
        <v>0</v>
      </c>
      <c r="H11" s="2"/>
      <c r="I11" s="2"/>
      <c r="J11" s="2"/>
      <c r="AA11">
        <v>10</v>
      </c>
      <c r="AB11" s="30" t="s">
        <v>725</v>
      </c>
      <c r="AC11" s="29" t="s">
        <v>717</v>
      </c>
    </row>
    <row r="12" spans="1:29" ht="45.75">
      <c r="A12" s="2">
        <v>11</v>
      </c>
      <c r="B12" s="30" t="s">
        <v>726</v>
      </c>
      <c r="C12" s="2"/>
      <c r="D12" s="2">
        <v>1</v>
      </c>
      <c r="E12" s="2"/>
      <c r="F12" s="2" t="str">
        <f>VLOOKUP(B12,QuestionariesSCARED,2,FALSE)</f>
        <v>School Avoidance</v>
      </c>
      <c r="G12" s="2">
        <f t="shared" si="0"/>
        <v>1</v>
      </c>
      <c r="H12" s="2"/>
      <c r="I12" s="2"/>
      <c r="J12" s="2"/>
      <c r="AA12">
        <v>11</v>
      </c>
      <c r="AB12" s="30" t="s">
        <v>726</v>
      </c>
      <c r="AC12" s="29" t="s">
        <v>715</v>
      </c>
    </row>
    <row r="13" spans="1:29" ht="60.75">
      <c r="A13" s="2">
        <v>12</v>
      </c>
      <c r="B13" s="30" t="s">
        <v>727</v>
      </c>
      <c r="C13" s="2"/>
      <c r="D13" s="2">
        <v>1</v>
      </c>
      <c r="E13" s="2"/>
      <c r="F13" s="2" t="str">
        <f>VLOOKUP(B13,QuestionariesSCARED,2,FALSE)</f>
        <v>Panic Disorder or Significant
Somatic Symptoms</v>
      </c>
      <c r="G13" s="2">
        <f t="shared" si="0"/>
        <v>1</v>
      </c>
      <c r="H13" s="2"/>
      <c r="I13" s="2"/>
      <c r="J13" s="2"/>
      <c r="AA13">
        <v>12</v>
      </c>
      <c r="AB13" s="30" t="s">
        <v>727</v>
      </c>
      <c r="AC13" s="29" t="s">
        <v>712</v>
      </c>
    </row>
    <row r="14" spans="1:29" ht="30.75">
      <c r="A14" s="2">
        <v>13</v>
      </c>
      <c r="B14" s="30" t="s">
        <v>728</v>
      </c>
      <c r="C14" s="2"/>
      <c r="D14" s="2">
        <v>1</v>
      </c>
      <c r="E14" s="2"/>
      <c r="F14" s="2" t="str">
        <f>VLOOKUP(B14,QuestionariesSCARED,2,FALSE)</f>
        <v>Separation Anxiety Disorder</v>
      </c>
      <c r="G14" s="2">
        <f t="shared" si="0"/>
        <v>1</v>
      </c>
      <c r="H14" s="2"/>
      <c r="I14" s="2"/>
      <c r="J14" s="2"/>
      <c r="AA14">
        <v>13</v>
      </c>
      <c r="AB14" s="30" t="s">
        <v>728</v>
      </c>
      <c r="AC14" s="29" t="s">
        <v>719</v>
      </c>
    </row>
    <row r="15" spans="1:29" ht="45.75">
      <c r="A15" s="2">
        <v>14</v>
      </c>
      <c r="B15" s="30" t="s">
        <v>729</v>
      </c>
      <c r="C15" s="2"/>
      <c r="D15" s="2">
        <v>1</v>
      </c>
      <c r="E15" s="2"/>
      <c r="F15" s="2" t="str">
        <f>VLOOKUP(B15,QuestionariesSCARED,2,FALSE)</f>
        <v>Generalized Anxiety Disorder</v>
      </c>
      <c r="G15" s="2">
        <f t="shared" si="0"/>
        <v>1</v>
      </c>
      <c r="H15" s="2"/>
      <c r="I15" s="2"/>
      <c r="J15" s="2"/>
      <c r="AA15">
        <v>14</v>
      </c>
      <c r="AB15" s="30" t="s">
        <v>729</v>
      </c>
      <c r="AC15" s="29" t="s">
        <v>714</v>
      </c>
    </row>
    <row r="16" spans="1:29" ht="60.75">
      <c r="A16" s="2">
        <v>15</v>
      </c>
      <c r="B16" s="30" t="s">
        <v>730</v>
      </c>
      <c r="C16" s="2"/>
      <c r="D16" s="2">
        <v>1</v>
      </c>
      <c r="E16" s="2"/>
      <c r="F16" s="2" t="str">
        <f>VLOOKUP(B16,QuestionariesSCARED,2,FALSE)</f>
        <v>Panic Disorder or Significant
Somatic Symptoms</v>
      </c>
      <c r="G16" s="2">
        <f t="shared" si="0"/>
        <v>1</v>
      </c>
      <c r="H16" s="2"/>
      <c r="I16" s="2"/>
      <c r="J16" s="2"/>
      <c r="AA16">
        <v>15</v>
      </c>
      <c r="AB16" s="30" t="s">
        <v>730</v>
      </c>
      <c r="AC16" s="29" t="s">
        <v>712</v>
      </c>
    </row>
    <row r="17" spans="1:29" ht="76.5">
      <c r="A17" s="2">
        <v>16</v>
      </c>
      <c r="B17" s="113" t="s">
        <v>731</v>
      </c>
      <c r="C17" s="2"/>
      <c r="D17" s="2">
        <v>1</v>
      </c>
      <c r="E17" s="2"/>
      <c r="F17" s="2" t="str">
        <f>VLOOKUP(B17,QuestionariesSCARED,2,FALSE)</f>
        <v>Separation Anxiety Disorder</v>
      </c>
      <c r="G17" s="2">
        <f t="shared" si="0"/>
        <v>1</v>
      </c>
      <c r="H17" s="2"/>
      <c r="I17" s="2"/>
      <c r="J17" s="2"/>
      <c r="AA17">
        <v>16</v>
      </c>
      <c r="AB17" s="30" t="s">
        <v>731</v>
      </c>
      <c r="AC17" s="29" t="s">
        <v>719</v>
      </c>
    </row>
    <row r="18" spans="1:29" ht="30.75">
      <c r="A18" s="2">
        <v>17</v>
      </c>
      <c r="B18" s="30" t="s">
        <v>732</v>
      </c>
      <c r="C18" s="2"/>
      <c r="D18" s="2">
        <v>1</v>
      </c>
      <c r="E18" s="2"/>
      <c r="F18" s="2" t="str">
        <f>VLOOKUP(B18,QuestionariesSCARED,2,FALSE)</f>
        <v>School Avoidance</v>
      </c>
      <c r="G18" s="2">
        <f t="shared" si="0"/>
        <v>1</v>
      </c>
      <c r="H18" s="2"/>
      <c r="I18" s="2"/>
      <c r="J18" s="2"/>
      <c r="AA18">
        <v>17</v>
      </c>
      <c r="AB18" s="30" t="s">
        <v>732</v>
      </c>
      <c r="AC18" s="29" t="s">
        <v>715</v>
      </c>
    </row>
    <row r="19" spans="1:29" ht="60.75">
      <c r="A19" s="2">
        <v>18</v>
      </c>
      <c r="B19" s="30" t="s">
        <v>733</v>
      </c>
      <c r="C19" s="2"/>
      <c r="D19" s="2">
        <v>1</v>
      </c>
      <c r="E19" s="2"/>
      <c r="F19" s="2" t="str">
        <f>VLOOKUP(B19,QuestionariesSCARED,2,FALSE)</f>
        <v>Panic Disorder or Significant
Somatic Symptoms</v>
      </c>
      <c r="G19" s="2">
        <f t="shared" si="0"/>
        <v>1</v>
      </c>
      <c r="H19" s="2"/>
      <c r="I19" s="2"/>
      <c r="J19" s="2"/>
      <c r="AA19">
        <v>18</v>
      </c>
      <c r="AB19" s="30" t="s">
        <v>733</v>
      </c>
      <c r="AC19" s="29" t="s">
        <v>712</v>
      </c>
    </row>
    <row r="20" spans="1:29" ht="60.75">
      <c r="A20" s="2">
        <v>19</v>
      </c>
      <c r="B20" s="30" t="s">
        <v>734</v>
      </c>
      <c r="C20" s="2"/>
      <c r="D20" s="2">
        <v>1</v>
      </c>
      <c r="E20" s="2"/>
      <c r="F20" s="2" t="str">
        <f>VLOOKUP(B20,QuestionariesSCARED,2,FALSE)</f>
        <v>Panic Disorder or Significant
Somatic Symptoms</v>
      </c>
      <c r="G20" s="2">
        <f t="shared" si="0"/>
        <v>1</v>
      </c>
      <c r="H20" s="2"/>
      <c r="I20" s="2"/>
      <c r="J20" s="2"/>
      <c r="AA20">
        <v>19</v>
      </c>
      <c r="AB20" s="30" t="s">
        <v>734</v>
      </c>
      <c r="AC20" s="29" t="s">
        <v>712</v>
      </c>
    </row>
    <row r="21" spans="1:29" ht="60.75">
      <c r="A21" s="2">
        <v>20</v>
      </c>
      <c r="B21" s="113" t="s">
        <v>735</v>
      </c>
      <c r="C21" s="2"/>
      <c r="D21" s="2">
        <v>1</v>
      </c>
      <c r="E21" s="2"/>
      <c r="F21" s="2" t="str">
        <f>VLOOKUP(B21,QuestionariesSCARED,2,FALSE)</f>
        <v>Separation Anxiety Disorder</v>
      </c>
      <c r="G21" s="2">
        <f t="shared" si="0"/>
        <v>1</v>
      </c>
      <c r="H21" s="2"/>
      <c r="I21" s="2"/>
      <c r="J21" s="2"/>
      <c r="AA21">
        <v>20</v>
      </c>
      <c r="AB21" s="30" t="s">
        <v>735</v>
      </c>
      <c r="AC21" s="29" t="s">
        <v>719</v>
      </c>
    </row>
    <row r="22" spans="1:29" ht="45.75">
      <c r="A22" s="2">
        <v>21</v>
      </c>
      <c r="B22" s="30" t="s">
        <v>736</v>
      </c>
      <c r="C22" s="2"/>
      <c r="D22" s="2"/>
      <c r="E22" s="2">
        <v>2</v>
      </c>
      <c r="F22" s="2" t="str">
        <f>VLOOKUP(B22,QuestionariesSCARED,2,FALSE)</f>
        <v>Generalized Anxiety Disorder</v>
      </c>
      <c r="G22" s="2">
        <f t="shared" si="0"/>
        <v>2</v>
      </c>
      <c r="H22" s="2"/>
      <c r="I22" s="2"/>
      <c r="J22" s="2"/>
      <c r="AA22">
        <v>21</v>
      </c>
      <c r="AB22" s="30" t="s">
        <v>736</v>
      </c>
      <c r="AC22" s="29" t="s">
        <v>714</v>
      </c>
    </row>
    <row r="23" spans="1:29" ht="60.75">
      <c r="A23" s="2">
        <v>22</v>
      </c>
      <c r="B23" s="30" t="s">
        <v>737</v>
      </c>
      <c r="C23" s="2"/>
      <c r="D23" s="2"/>
      <c r="E23" s="2">
        <v>2</v>
      </c>
      <c r="F23" s="2" t="str">
        <f>VLOOKUP(B23,QuestionariesSCARED,2,FALSE)</f>
        <v>Panic Disorder or Significant
Somatic Symptoms</v>
      </c>
      <c r="G23" s="2">
        <f t="shared" si="0"/>
        <v>2</v>
      </c>
      <c r="H23" s="2"/>
      <c r="I23" s="2"/>
      <c r="J23" s="2"/>
      <c r="AA23">
        <v>22</v>
      </c>
      <c r="AB23" s="30" t="s">
        <v>737</v>
      </c>
      <c r="AC23" s="29" t="s">
        <v>712</v>
      </c>
    </row>
    <row r="24" spans="1:29" ht="30.75">
      <c r="A24" s="2">
        <v>23</v>
      </c>
      <c r="B24" s="30" t="s">
        <v>738</v>
      </c>
      <c r="C24" s="2"/>
      <c r="D24" s="2"/>
      <c r="E24" s="2">
        <v>2</v>
      </c>
      <c r="F24" s="2" t="str">
        <f>VLOOKUP(B24,QuestionariesSCARED,2,FALSE)</f>
        <v>Generalized Anxiety Disorder</v>
      </c>
      <c r="G24" s="2">
        <f t="shared" si="0"/>
        <v>2</v>
      </c>
      <c r="H24" s="2"/>
      <c r="I24" s="2"/>
      <c r="J24" s="2"/>
      <c r="AA24">
        <v>23</v>
      </c>
      <c r="AB24" s="30" t="s">
        <v>738</v>
      </c>
      <c r="AC24" s="29" t="s">
        <v>714</v>
      </c>
    </row>
    <row r="25" spans="1:29" ht="60.75">
      <c r="A25" s="2">
        <v>24</v>
      </c>
      <c r="B25" s="30" t="s">
        <v>739</v>
      </c>
      <c r="C25" s="2"/>
      <c r="D25" s="2"/>
      <c r="E25" s="2">
        <v>2</v>
      </c>
      <c r="F25" s="2" t="str">
        <f>VLOOKUP(B25,QuestionariesSCARED,2,FALSE)</f>
        <v>Panic Disorder or Significant
Somatic Symptoms</v>
      </c>
      <c r="G25" s="2">
        <f t="shared" si="0"/>
        <v>2</v>
      </c>
      <c r="H25" s="2"/>
      <c r="I25" s="2"/>
      <c r="J25" s="2"/>
      <c r="AA25">
        <v>24</v>
      </c>
      <c r="AB25" s="30" t="s">
        <v>739</v>
      </c>
      <c r="AC25" s="29" t="s">
        <v>712</v>
      </c>
    </row>
    <row r="26" spans="1:29" ht="30.75">
      <c r="A26" s="2">
        <v>25</v>
      </c>
      <c r="B26" s="113" t="s">
        <v>740</v>
      </c>
      <c r="C26" s="2"/>
      <c r="D26" s="2"/>
      <c r="E26" s="2">
        <v>2</v>
      </c>
      <c r="F26" s="2" t="str">
        <f>VLOOKUP(B26,QuestionariesSCARED,2,FALSE)</f>
        <v>Separation Anxiety Disorder</v>
      </c>
      <c r="G26" s="2">
        <f t="shared" si="0"/>
        <v>2</v>
      </c>
      <c r="H26" s="2"/>
      <c r="I26" s="2"/>
      <c r="J26" s="2"/>
      <c r="AA26">
        <v>25</v>
      </c>
      <c r="AB26" s="30" t="s">
        <v>740</v>
      </c>
      <c r="AC26" s="29" t="s">
        <v>719</v>
      </c>
    </row>
    <row r="27" spans="1:29" ht="45.75">
      <c r="A27" s="2">
        <v>26</v>
      </c>
      <c r="B27" s="30" t="s">
        <v>741</v>
      </c>
      <c r="C27" s="2"/>
      <c r="D27" s="2"/>
      <c r="E27" s="2">
        <v>2</v>
      </c>
      <c r="F27" s="2" t="str">
        <f>VLOOKUP(B27,QuestionariesSCARED,2,FALSE)</f>
        <v>Social Anxiety Disorder</v>
      </c>
      <c r="G27" s="2">
        <f t="shared" si="0"/>
        <v>2</v>
      </c>
      <c r="H27" s="2"/>
      <c r="I27" s="2"/>
      <c r="J27" s="2"/>
      <c r="AA27">
        <v>26</v>
      </c>
      <c r="AB27" s="30" t="s">
        <v>741</v>
      </c>
      <c r="AC27" s="29" t="s">
        <v>717</v>
      </c>
    </row>
    <row r="28" spans="1:29" ht="60.75">
      <c r="A28" s="2">
        <v>27</v>
      </c>
      <c r="B28" s="30" t="s">
        <v>742</v>
      </c>
      <c r="C28" s="2"/>
      <c r="D28" s="2"/>
      <c r="E28" s="2">
        <v>2</v>
      </c>
      <c r="F28" s="2" t="str">
        <f>VLOOKUP(B28,QuestionariesSCARED,2,FALSE)</f>
        <v>Panic Disorder or Significant
Somatic Symptoms</v>
      </c>
      <c r="G28" s="2">
        <f t="shared" si="0"/>
        <v>2</v>
      </c>
      <c r="H28" s="2"/>
      <c r="I28" s="2"/>
      <c r="J28" s="2"/>
      <c r="AA28">
        <v>27</v>
      </c>
      <c r="AB28" s="30" t="s">
        <v>742</v>
      </c>
      <c r="AC28" s="29" t="s">
        <v>712</v>
      </c>
    </row>
    <row r="29" spans="1:29" ht="30.75">
      <c r="A29" s="2">
        <v>28</v>
      </c>
      <c r="B29" s="30" t="s">
        <v>743</v>
      </c>
      <c r="C29" s="2"/>
      <c r="D29" s="2"/>
      <c r="E29" s="2">
        <v>2</v>
      </c>
      <c r="F29" s="2" t="str">
        <f>VLOOKUP(B29,QuestionariesSCARED,2,FALSE)</f>
        <v>Generalized Anxiety Disorder</v>
      </c>
      <c r="G29" s="2">
        <f t="shared" si="0"/>
        <v>2</v>
      </c>
      <c r="H29" s="2"/>
      <c r="I29" s="2"/>
      <c r="J29" s="2"/>
      <c r="AA29">
        <v>28</v>
      </c>
      <c r="AB29" s="30" t="s">
        <v>743</v>
      </c>
      <c r="AC29" s="29" t="s">
        <v>714</v>
      </c>
    </row>
    <row r="30" spans="1:29" ht="45.75">
      <c r="A30" s="2">
        <v>29</v>
      </c>
      <c r="B30" s="113" t="s">
        <v>744</v>
      </c>
      <c r="C30" s="2"/>
      <c r="D30" s="2"/>
      <c r="E30" s="2">
        <v>2</v>
      </c>
      <c r="F30" s="2" t="str">
        <f>VLOOKUP(B30,QuestionariesSCARED,2,FALSE)</f>
        <v>Separation Anxiety Disorder</v>
      </c>
      <c r="G30" s="2">
        <f t="shared" si="0"/>
        <v>2</v>
      </c>
      <c r="H30" s="2"/>
      <c r="I30" s="2"/>
      <c r="J30" s="2"/>
      <c r="AA30">
        <v>29</v>
      </c>
      <c r="AB30" s="30" t="s">
        <v>744</v>
      </c>
      <c r="AC30" s="29" t="s">
        <v>719</v>
      </c>
    </row>
    <row r="31" spans="1:29" ht="60.75">
      <c r="A31" s="2">
        <v>30</v>
      </c>
      <c r="B31" s="30" t="s">
        <v>745</v>
      </c>
      <c r="C31" s="2"/>
      <c r="D31" s="2"/>
      <c r="E31" s="2">
        <v>2</v>
      </c>
      <c r="F31" s="2" t="str">
        <f>VLOOKUP(B31,QuestionariesSCARED,2,FALSE)</f>
        <v>Panic Disorder or Significant
Somatic Symptoms</v>
      </c>
      <c r="G31" s="2">
        <f t="shared" si="0"/>
        <v>2</v>
      </c>
      <c r="H31" s="2"/>
      <c r="I31" s="2"/>
      <c r="J31" s="2"/>
      <c r="AA31">
        <v>30</v>
      </c>
      <c r="AB31" s="30" t="s">
        <v>745</v>
      </c>
      <c r="AC31" s="29" t="s">
        <v>712</v>
      </c>
    </row>
    <row r="32" spans="1:29" ht="60.75">
      <c r="A32" s="2">
        <v>31</v>
      </c>
      <c r="B32" s="30" t="s">
        <v>746</v>
      </c>
      <c r="C32" s="2">
        <v>0</v>
      </c>
      <c r="D32" s="2"/>
      <c r="E32" s="2"/>
      <c r="F32" s="2" t="str">
        <f>VLOOKUP(B32,QuestionariesSCARED,2,FALSE)</f>
        <v>Separation Anxiety Disorder</v>
      </c>
      <c r="G32" s="2">
        <f t="shared" si="0"/>
        <v>0</v>
      </c>
      <c r="H32" s="2"/>
      <c r="I32" s="2"/>
      <c r="J32" s="2"/>
      <c r="AA32">
        <v>31</v>
      </c>
      <c r="AB32" s="30" t="s">
        <v>746</v>
      </c>
      <c r="AC32" s="29" t="s">
        <v>719</v>
      </c>
    </row>
    <row r="33" spans="1:29" ht="45.75">
      <c r="A33" s="2">
        <v>32</v>
      </c>
      <c r="B33" s="30" t="s">
        <v>747</v>
      </c>
      <c r="C33" s="2">
        <v>0</v>
      </c>
      <c r="D33" s="2"/>
      <c r="E33" s="2"/>
      <c r="F33" s="2" t="str">
        <f>VLOOKUP(B33,QuestionariesSCARED,2,FALSE)</f>
        <v>Social Anxiety Disorder</v>
      </c>
      <c r="G33" s="2">
        <f t="shared" si="0"/>
        <v>0</v>
      </c>
      <c r="H33" s="2"/>
      <c r="I33" s="2"/>
      <c r="J33" s="2"/>
      <c r="AA33">
        <v>32</v>
      </c>
      <c r="AB33" s="30" t="s">
        <v>747</v>
      </c>
      <c r="AC33" s="29" t="s">
        <v>717</v>
      </c>
    </row>
    <row r="34" spans="1:29" ht="45.75">
      <c r="A34" s="2">
        <v>33</v>
      </c>
      <c r="B34" s="30" t="s">
        <v>748</v>
      </c>
      <c r="C34" s="2">
        <v>0</v>
      </c>
      <c r="D34" s="2"/>
      <c r="E34" s="2"/>
      <c r="F34" s="2" t="str">
        <f>VLOOKUP(B34,QuestionariesSCARED,2,FALSE)</f>
        <v>Generalized Anxiety Disorder</v>
      </c>
      <c r="G34" s="2">
        <f t="shared" si="0"/>
        <v>0</v>
      </c>
      <c r="H34" s="2"/>
      <c r="I34" s="2"/>
      <c r="J34" s="2"/>
      <c r="AA34">
        <v>33</v>
      </c>
      <c r="AB34" s="30" t="s">
        <v>748</v>
      </c>
      <c r="AC34" s="29" t="s">
        <v>714</v>
      </c>
    </row>
    <row r="35" spans="1:29" ht="60.75">
      <c r="A35" s="2">
        <v>34</v>
      </c>
      <c r="B35" s="30" t="s">
        <v>749</v>
      </c>
      <c r="C35" s="2"/>
      <c r="D35" s="2">
        <v>1</v>
      </c>
      <c r="E35" s="2"/>
      <c r="F35" s="2" t="str">
        <f>VLOOKUP(B35,QuestionariesSCARED,2,FALSE)</f>
        <v>Panic Disorder or Significant
Somatic Symptoms</v>
      </c>
      <c r="G35" s="2">
        <f t="shared" si="0"/>
        <v>1</v>
      </c>
      <c r="H35" s="2"/>
      <c r="I35" s="2"/>
      <c r="J35" s="2"/>
      <c r="AA35">
        <v>34</v>
      </c>
      <c r="AB35" s="30" t="s">
        <v>749</v>
      </c>
      <c r="AC35" s="29" t="s">
        <v>712</v>
      </c>
    </row>
    <row r="36" spans="1:29" ht="45.75">
      <c r="A36" s="2">
        <v>35</v>
      </c>
      <c r="B36" s="30" t="s">
        <v>750</v>
      </c>
      <c r="C36" s="2"/>
      <c r="D36" s="2">
        <v>1</v>
      </c>
      <c r="E36" s="2"/>
      <c r="F36" s="2" t="str">
        <f>VLOOKUP(B36,QuestionariesSCARED,2,FALSE)</f>
        <v>Generalized Anxiety Disorder</v>
      </c>
      <c r="G36" s="2">
        <f t="shared" si="0"/>
        <v>1</v>
      </c>
      <c r="H36" s="2"/>
      <c r="I36" s="2"/>
      <c r="J36" s="2"/>
      <c r="AA36">
        <v>35</v>
      </c>
      <c r="AB36" s="30" t="s">
        <v>750</v>
      </c>
      <c r="AC36" s="29" t="s">
        <v>714</v>
      </c>
    </row>
    <row r="37" spans="1:29" ht="30.75">
      <c r="A37" s="2">
        <v>36</v>
      </c>
      <c r="B37" s="30" t="s">
        <v>751</v>
      </c>
      <c r="C37" s="2"/>
      <c r="D37" s="2">
        <v>1</v>
      </c>
      <c r="E37" s="2"/>
      <c r="F37" s="2" t="str">
        <f>VLOOKUP(B37,QuestionariesSCARED,2,FALSE)</f>
        <v>School Avoidance</v>
      </c>
      <c r="G37" s="2">
        <f t="shared" si="0"/>
        <v>1</v>
      </c>
      <c r="H37" s="2"/>
      <c r="I37" s="2"/>
      <c r="J37" s="2"/>
      <c r="AA37">
        <v>36</v>
      </c>
      <c r="AB37" s="30" t="s">
        <v>751</v>
      </c>
      <c r="AC37" s="29" t="s">
        <v>715</v>
      </c>
    </row>
    <row r="38" spans="1:29" ht="45.75">
      <c r="A38" s="2">
        <v>37</v>
      </c>
      <c r="B38" s="30" t="s">
        <v>752</v>
      </c>
      <c r="C38" s="2"/>
      <c r="D38" s="2">
        <v>1</v>
      </c>
      <c r="E38" s="2"/>
      <c r="F38" s="2" t="str">
        <f>VLOOKUP(B38,QuestionariesSCARED,2,FALSE)</f>
        <v>Generalized Anxiety Disorder</v>
      </c>
      <c r="G38" s="2">
        <f t="shared" si="0"/>
        <v>1</v>
      </c>
      <c r="H38" s="2"/>
      <c r="I38" s="2"/>
      <c r="J38" s="2"/>
      <c r="AA38">
        <v>37</v>
      </c>
      <c r="AB38" s="30" t="s">
        <v>752</v>
      </c>
      <c r="AC38" s="29" t="s">
        <v>714</v>
      </c>
    </row>
    <row r="39" spans="1:29" ht="60.75">
      <c r="A39" s="2">
        <v>38</v>
      </c>
      <c r="B39" s="30" t="s">
        <v>753</v>
      </c>
      <c r="C39" s="2"/>
      <c r="D39" s="2">
        <v>1</v>
      </c>
      <c r="E39" s="2"/>
      <c r="F39" s="2" t="str">
        <f>VLOOKUP(B39,QuestionariesSCARED,2,FALSE)</f>
        <v>Panic Disorder or Significant
Somatic Symptoms</v>
      </c>
      <c r="G39" s="2">
        <f t="shared" si="0"/>
        <v>1</v>
      </c>
      <c r="H39" s="2"/>
      <c r="I39" s="2"/>
      <c r="J39" s="2"/>
      <c r="AA39">
        <v>38</v>
      </c>
      <c r="AB39" s="30" t="s">
        <v>753</v>
      </c>
      <c r="AC39" s="29" t="s">
        <v>712</v>
      </c>
    </row>
    <row r="40" spans="1:29" ht="129.75" customHeight="1">
      <c r="A40" s="2">
        <v>39</v>
      </c>
      <c r="B40" s="30" t="s">
        <v>754</v>
      </c>
      <c r="C40" s="2"/>
      <c r="D40" s="2"/>
      <c r="E40" s="2">
        <v>2</v>
      </c>
      <c r="F40" s="2" t="str">
        <f>VLOOKUP(B40,QuestionariesSCARED,2,FALSE)</f>
        <v>Social Anxiety Disorder</v>
      </c>
      <c r="G40" s="2">
        <f t="shared" si="0"/>
        <v>2</v>
      </c>
      <c r="H40" s="2"/>
      <c r="I40" s="2"/>
      <c r="J40" s="2"/>
      <c r="AA40">
        <v>39</v>
      </c>
      <c r="AB40" s="30" t="s">
        <v>754</v>
      </c>
      <c r="AC40" s="29" t="s">
        <v>717</v>
      </c>
    </row>
    <row r="41" spans="1:29" ht="104.25" customHeight="1">
      <c r="A41" s="2">
        <v>40</v>
      </c>
      <c r="B41" s="30" t="s">
        <v>755</v>
      </c>
      <c r="C41" s="2"/>
      <c r="D41" s="2"/>
      <c r="E41" s="2">
        <v>2</v>
      </c>
      <c r="F41" s="2" t="str">
        <f>VLOOKUP(B41,QuestionariesSCARED,2,FALSE)</f>
        <v>Social Anxiety Disorder</v>
      </c>
      <c r="G41" s="2">
        <f t="shared" si="0"/>
        <v>2</v>
      </c>
      <c r="H41" s="2"/>
      <c r="I41" s="2"/>
      <c r="J41" s="2"/>
      <c r="AA41">
        <v>40</v>
      </c>
      <c r="AB41" s="30" t="s">
        <v>755</v>
      </c>
      <c r="AC41" s="29" t="s">
        <v>717</v>
      </c>
    </row>
    <row r="42" spans="1:29" ht="30.75">
      <c r="A42" s="2">
        <v>41</v>
      </c>
      <c r="B42" s="30" t="s">
        <v>756</v>
      </c>
      <c r="C42" s="2"/>
      <c r="D42" s="2"/>
      <c r="E42" s="2">
        <v>2</v>
      </c>
      <c r="F42" s="2" t="str">
        <f>VLOOKUP(B42,QuestionariesSCARED,2,FALSE)</f>
        <v>Social Anxiety Disorder</v>
      </c>
      <c r="G42" s="2">
        <f t="shared" si="0"/>
        <v>2</v>
      </c>
      <c r="H42" s="2"/>
      <c r="I42" s="2"/>
      <c r="J42" s="2"/>
      <c r="AA42">
        <v>41</v>
      </c>
      <c r="AB42" s="30" t="s">
        <v>756</v>
      </c>
      <c r="AC42" s="29" t="s">
        <v>717</v>
      </c>
    </row>
  </sheetData>
  <autoFilter ref="A1:F42" xr:uid="{C69817EA-4B4B-4F38-9100-62F0A22E35E9}"/>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462B7-D70E-4A27-9EA7-41CBF8F526B6}">
  <dimension ref="A1:G22"/>
  <sheetViews>
    <sheetView tabSelected="1" workbookViewId="0">
      <selection activeCell="E2" sqref="E2"/>
    </sheetView>
  </sheetViews>
  <sheetFormatPr defaultRowHeight="15"/>
  <cols>
    <col min="2" max="2" width="77.7109375" style="29" customWidth="1"/>
    <col min="3" max="3" width="15.7109375" customWidth="1"/>
    <col min="4" max="4" width="20" customWidth="1"/>
    <col min="5" max="5" width="21.7109375" customWidth="1"/>
    <col min="6" max="6" width="28.28515625" customWidth="1"/>
  </cols>
  <sheetData>
    <row r="1" spans="1:7">
      <c r="A1" s="105" t="s">
        <v>80</v>
      </c>
      <c r="B1" s="106" t="s">
        <v>81</v>
      </c>
      <c r="C1" s="107" t="s">
        <v>757</v>
      </c>
      <c r="D1" s="105" t="s">
        <v>758</v>
      </c>
      <c r="E1" s="105" t="s">
        <v>759</v>
      </c>
    </row>
    <row r="2" spans="1:7" ht="39.75">
      <c r="A2" s="98">
        <v>1</v>
      </c>
      <c r="B2" s="103" t="s">
        <v>760</v>
      </c>
      <c r="C2" s="104"/>
      <c r="D2" s="98">
        <v>2</v>
      </c>
      <c r="E2" s="98"/>
    </row>
    <row r="3" spans="1:7" ht="19.5">
      <c r="A3" s="98">
        <v>2</v>
      </c>
      <c r="B3" s="103" t="s">
        <v>761</v>
      </c>
      <c r="C3" s="104"/>
      <c r="D3" s="98">
        <v>2</v>
      </c>
      <c r="E3" s="98"/>
    </row>
    <row r="4" spans="1:7" ht="39.75">
      <c r="A4" s="98">
        <v>3</v>
      </c>
      <c r="B4" s="103" t="s">
        <v>762</v>
      </c>
      <c r="C4" s="104"/>
      <c r="D4" s="98">
        <v>2</v>
      </c>
      <c r="E4" s="98"/>
    </row>
    <row r="5" spans="1:7" ht="19.5">
      <c r="A5" s="98">
        <v>4</v>
      </c>
      <c r="B5" s="103" t="s">
        <v>763</v>
      </c>
      <c r="C5" s="104"/>
      <c r="D5" s="98">
        <v>2</v>
      </c>
      <c r="E5" s="98"/>
      <c r="G5" s="98"/>
    </row>
    <row r="6" spans="1:7" ht="39.75">
      <c r="A6" s="98">
        <v>5</v>
      </c>
      <c r="B6" s="103" t="s">
        <v>764</v>
      </c>
      <c r="C6" s="104"/>
      <c r="D6" s="98">
        <v>2</v>
      </c>
      <c r="E6" s="98">
        <v>3</v>
      </c>
      <c r="G6" s="108"/>
    </row>
    <row r="7" spans="1:7" ht="19.5">
      <c r="A7" s="98">
        <v>6</v>
      </c>
      <c r="B7" s="103" t="s">
        <v>765</v>
      </c>
      <c r="C7" s="104"/>
      <c r="D7" s="98">
        <v>2</v>
      </c>
      <c r="E7" s="98"/>
      <c r="G7" s="98"/>
    </row>
    <row r="8" spans="1:7" ht="59.25">
      <c r="A8" s="98">
        <v>7</v>
      </c>
      <c r="B8" s="103" t="s">
        <v>766</v>
      </c>
      <c r="C8" s="104"/>
      <c r="D8" s="98"/>
      <c r="E8" s="98">
        <v>3</v>
      </c>
    </row>
    <row r="9" spans="1:7" ht="19.5">
      <c r="A9" s="98">
        <v>8</v>
      </c>
      <c r="B9" s="103" t="s">
        <v>767</v>
      </c>
      <c r="C9" s="104"/>
      <c r="D9" s="98">
        <v>2</v>
      </c>
      <c r="E9" s="98"/>
    </row>
    <row r="10" spans="1:7" ht="39.75">
      <c r="A10" s="98">
        <v>9</v>
      </c>
      <c r="B10" s="103" t="s">
        <v>768</v>
      </c>
      <c r="C10" s="104">
        <v>1</v>
      </c>
      <c r="D10" s="98"/>
      <c r="E10" s="98"/>
    </row>
    <row r="11" spans="1:7" ht="59.25">
      <c r="A11" s="98">
        <v>10</v>
      </c>
      <c r="B11" s="103" t="s">
        <v>769</v>
      </c>
      <c r="C11" s="104"/>
      <c r="D11" s="98">
        <v>2</v>
      </c>
      <c r="E11" s="98"/>
    </row>
    <row r="12" spans="1:7" ht="39.75">
      <c r="A12" s="98">
        <v>11</v>
      </c>
      <c r="B12" s="103" t="s">
        <v>770</v>
      </c>
      <c r="C12" s="104"/>
      <c r="D12" s="98"/>
      <c r="E12" s="98">
        <v>3</v>
      </c>
    </row>
    <row r="13" spans="1:7" ht="39.75">
      <c r="A13" s="98">
        <v>12</v>
      </c>
      <c r="B13" s="103" t="s">
        <v>771</v>
      </c>
      <c r="C13" s="104"/>
      <c r="D13" s="98">
        <v>2</v>
      </c>
      <c r="E13" s="98"/>
    </row>
    <row r="14" spans="1:7" ht="39.75">
      <c r="A14" s="98">
        <v>13</v>
      </c>
      <c r="B14" s="103" t="s">
        <v>772</v>
      </c>
      <c r="C14" s="104"/>
      <c r="D14" s="98">
        <v>2</v>
      </c>
      <c r="E14" s="98"/>
    </row>
    <row r="15" spans="1:7" ht="19.5">
      <c r="A15" s="98">
        <v>14</v>
      </c>
      <c r="B15" s="103" t="s">
        <v>773</v>
      </c>
      <c r="C15" s="104"/>
      <c r="D15" s="98"/>
      <c r="E15" s="98">
        <v>3</v>
      </c>
    </row>
    <row r="16" spans="1:7" ht="19.5">
      <c r="A16" s="98">
        <v>15</v>
      </c>
      <c r="B16" s="103" t="s">
        <v>774</v>
      </c>
      <c r="C16" s="104"/>
      <c r="D16" s="98">
        <v>2</v>
      </c>
      <c r="E16" s="98"/>
    </row>
    <row r="17" spans="1:6" ht="19.5">
      <c r="A17" s="98">
        <v>16</v>
      </c>
      <c r="B17" s="103" t="s">
        <v>775</v>
      </c>
      <c r="C17" s="104"/>
      <c r="D17" s="98">
        <v>2</v>
      </c>
      <c r="E17" s="98"/>
    </row>
    <row r="18" spans="1:6" ht="19.5">
      <c r="A18" s="98">
        <v>17</v>
      </c>
      <c r="B18" s="103" t="s">
        <v>776</v>
      </c>
      <c r="C18" s="104">
        <v>1</v>
      </c>
      <c r="D18" s="98"/>
      <c r="E18" s="98"/>
    </row>
    <row r="19" spans="1:6" ht="19.5">
      <c r="A19" s="98">
        <v>18</v>
      </c>
      <c r="B19" s="103" t="s">
        <v>777</v>
      </c>
      <c r="C19" s="104"/>
      <c r="D19" s="98">
        <v>2</v>
      </c>
      <c r="E19" s="98"/>
    </row>
    <row r="20" spans="1:6" ht="19.5">
      <c r="A20" s="98">
        <v>19</v>
      </c>
      <c r="B20" s="103" t="s">
        <v>778</v>
      </c>
      <c r="C20" s="104"/>
      <c r="D20" s="98">
        <v>2</v>
      </c>
      <c r="E20" s="98"/>
    </row>
    <row r="21" spans="1:6" ht="19.5">
      <c r="A21" s="109">
        <v>20</v>
      </c>
      <c r="B21" s="110" t="s">
        <v>779</v>
      </c>
      <c r="C21" s="111"/>
      <c r="D21" s="98">
        <v>2</v>
      </c>
      <c r="E21" s="98"/>
    </row>
    <row r="22" spans="1:6" ht="91.5">
      <c r="A22" s="286" t="s">
        <v>780</v>
      </c>
      <c r="B22" s="287"/>
      <c r="C22" s="276">
        <f>SUM(C2:E21)</f>
        <v>44</v>
      </c>
      <c r="D22" s="277"/>
      <c r="E22" s="278"/>
      <c r="F22" s="46" t="str">
        <f>IF(SUM(C2:E21)&lt;=10, "Strong Language Comprehension", IF(SUM(C2:E21)&lt;=20, "Moderate Language Comprehension", IF(SUM(C2:E21)&lt;=30, "Mild Language Delay", "Severe Language Delay")))</f>
        <v>Severe Language Delay</v>
      </c>
    </row>
  </sheetData>
  <mergeCells count="2">
    <mergeCell ref="A22:B22"/>
    <mergeCell ref="C22:E2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B9C98-C488-47A0-95B0-E91B70C1E32E}">
  <dimension ref="A1:I35"/>
  <sheetViews>
    <sheetView workbookViewId="0">
      <selection activeCell="H8" sqref="H8:H16"/>
    </sheetView>
  </sheetViews>
  <sheetFormatPr defaultRowHeight="15"/>
  <cols>
    <col min="1" max="1" width="9.140625" style="5"/>
    <col min="2" max="2" width="42.28515625" customWidth="1"/>
    <col min="3" max="3" width="17.28515625" customWidth="1"/>
    <col min="4" max="4" width="15.28515625" customWidth="1"/>
    <col min="5" max="5" width="16" customWidth="1"/>
    <col min="6" max="6" width="16.28515625" customWidth="1"/>
    <col min="7" max="7" width="19.42578125" customWidth="1"/>
    <col min="8" max="8" width="31.7109375" customWidth="1"/>
    <col min="9" max="9" width="22.85546875" customWidth="1"/>
  </cols>
  <sheetData>
    <row r="1" spans="1:9">
      <c r="A1" s="244" t="s">
        <v>42</v>
      </c>
      <c r="B1" s="244"/>
      <c r="C1" s="244"/>
      <c r="D1" s="244"/>
      <c r="E1" s="244"/>
      <c r="F1" s="244"/>
      <c r="G1" s="244"/>
      <c r="H1" s="244"/>
      <c r="I1" s="244"/>
    </row>
    <row r="2" spans="1:9">
      <c r="A2" s="4">
        <v>1</v>
      </c>
      <c r="B2" s="2" t="str">
        <f>IF(SUM(G8:G16)/9&lt;1.78,"Attention","InAttention")</f>
        <v>Attention</v>
      </c>
    </row>
    <row r="3" spans="1:9">
      <c r="A3" s="4">
        <v>2</v>
      </c>
      <c r="B3" s="2" t="str">
        <f>IF(SUM(G18:G26)/9&lt;=1.44,"Relaxed/Apathy","Hyperactivity/Impulsive")</f>
        <v>Hyperactivity/Impulsive</v>
      </c>
    </row>
    <row r="4" spans="1:9">
      <c r="A4" s="4">
        <v>3</v>
      </c>
      <c r="B4" s="2" t="str">
        <f>IF(SUM(G28:G35)/8&lt;=1.88,"Conduct Disorder","Opositional Deficient")</f>
        <v>Conduct Disorder</v>
      </c>
    </row>
    <row r="6" spans="1:9" ht="47.25" customHeight="1">
      <c r="A6" s="6" t="s">
        <v>1</v>
      </c>
      <c r="B6" s="1" t="s">
        <v>43</v>
      </c>
      <c r="C6" s="1" t="s">
        <v>44</v>
      </c>
      <c r="D6" s="1" t="s">
        <v>45</v>
      </c>
      <c r="E6" s="1" t="s">
        <v>46</v>
      </c>
      <c r="F6" s="1" t="s">
        <v>47</v>
      </c>
      <c r="G6" s="1" t="s">
        <v>7</v>
      </c>
      <c r="H6" s="22" t="s">
        <v>48</v>
      </c>
      <c r="I6" s="1" t="s">
        <v>49</v>
      </c>
    </row>
    <row r="7" spans="1:9" ht="19.5" customHeight="1">
      <c r="A7" s="224" t="s">
        <v>50</v>
      </c>
      <c r="B7" s="225"/>
      <c r="C7" s="225"/>
      <c r="D7" s="225"/>
      <c r="E7" s="225"/>
      <c r="F7" s="225"/>
      <c r="G7" s="225"/>
      <c r="H7" s="225"/>
      <c r="I7" s="226"/>
    </row>
    <row r="8" spans="1:9" ht="40.5" customHeight="1">
      <c r="A8" s="7">
        <v>1</v>
      </c>
      <c r="B8" s="9" t="s">
        <v>51</v>
      </c>
      <c r="C8" s="9">
        <v>0</v>
      </c>
      <c r="D8" s="9"/>
      <c r="E8" s="19"/>
      <c r="F8" s="19"/>
      <c r="G8" s="19">
        <f>SUM(C8:F8)</f>
        <v>0</v>
      </c>
      <c r="H8" s="248">
        <f>SUM(G8:G16)/9</f>
        <v>1.6666666666666667</v>
      </c>
      <c r="I8" s="248" t="str">
        <f>IF(SUM(G8:G16)/9&gt;=1.78,"InAttention","Attention")</f>
        <v>Attention</v>
      </c>
    </row>
    <row r="9" spans="1:9" ht="33" customHeight="1">
      <c r="A9" s="7">
        <v>2</v>
      </c>
      <c r="B9" s="9" t="s">
        <v>52</v>
      </c>
      <c r="C9" s="9">
        <v>0</v>
      </c>
      <c r="D9" s="9"/>
      <c r="E9" s="19"/>
      <c r="F9" s="19"/>
      <c r="G9" s="19">
        <f t="shared" ref="G9:G16" si="0">SUM(C9:F9)</f>
        <v>0</v>
      </c>
      <c r="H9" s="249"/>
      <c r="I9" s="249"/>
    </row>
    <row r="10" spans="1:9" ht="28.5" customHeight="1">
      <c r="A10" s="7">
        <v>3</v>
      </c>
      <c r="B10" s="9" t="s">
        <v>53</v>
      </c>
      <c r="C10" s="9"/>
      <c r="D10" s="9">
        <v>1</v>
      </c>
      <c r="E10" s="19"/>
      <c r="F10" s="19"/>
      <c r="G10" s="19">
        <f t="shared" si="0"/>
        <v>1</v>
      </c>
      <c r="H10" s="249"/>
      <c r="I10" s="249"/>
    </row>
    <row r="11" spans="1:9" ht="40.5" customHeight="1">
      <c r="A11" s="7">
        <v>4</v>
      </c>
      <c r="B11" s="9" t="s">
        <v>54</v>
      </c>
      <c r="C11" s="9"/>
      <c r="D11" s="9">
        <v>1</v>
      </c>
      <c r="E11" s="19"/>
      <c r="F11" s="19"/>
      <c r="G11" s="19">
        <f t="shared" si="0"/>
        <v>1</v>
      </c>
      <c r="H11" s="249"/>
      <c r="I11" s="249"/>
    </row>
    <row r="12" spans="1:9" ht="27.75" customHeight="1">
      <c r="A12" s="7">
        <v>5</v>
      </c>
      <c r="B12" s="9" t="s">
        <v>55</v>
      </c>
      <c r="C12" s="9"/>
      <c r="D12" s="9"/>
      <c r="E12" s="9">
        <v>2</v>
      </c>
      <c r="F12" s="19"/>
      <c r="G12" s="19">
        <f t="shared" si="0"/>
        <v>2</v>
      </c>
      <c r="H12" s="249"/>
      <c r="I12" s="249"/>
    </row>
    <row r="13" spans="1:9" ht="41.25" customHeight="1">
      <c r="A13" s="7">
        <v>6</v>
      </c>
      <c r="B13" s="9" t="s">
        <v>56</v>
      </c>
      <c r="C13" s="9"/>
      <c r="D13" s="9"/>
      <c r="E13" s="19">
        <v>2</v>
      </c>
      <c r="F13" s="19"/>
      <c r="G13" s="19">
        <f t="shared" si="0"/>
        <v>2</v>
      </c>
      <c r="H13" s="249"/>
      <c r="I13" s="249"/>
    </row>
    <row r="14" spans="1:9" ht="39" customHeight="1">
      <c r="A14" s="7">
        <v>7</v>
      </c>
      <c r="B14" s="9" t="s">
        <v>57</v>
      </c>
      <c r="C14" s="9"/>
      <c r="D14" s="9"/>
      <c r="E14" s="19"/>
      <c r="F14" s="19">
        <v>3</v>
      </c>
      <c r="G14" s="19">
        <f t="shared" si="0"/>
        <v>3</v>
      </c>
      <c r="H14" s="249"/>
      <c r="I14" s="249"/>
    </row>
    <row r="15" spans="1:9">
      <c r="A15" s="7">
        <v>8</v>
      </c>
      <c r="B15" s="9" t="s">
        <v>58</v>
      </c>
      <c r="C15" s="9"/>
      <c r="D15" s="9"/>
      <c r="E15" s="9"/>
      <c r="F15" s="19">
        <v>3</v>
      </c>
      <c r="G15" s="19">
        <f t="shared" si="0"/>
        <v>3</v>
      </c>
      <c r="H15" s="249"/>
      <c r="I15" s="249"/>
    </row>
    <row r="16" spans="1:9">
      <c r="A16" s="7">
        <v>9</v>
      </c>
      <c r="B16" s="9" t="s">
        <v>59</v>
      </c>
      <c r="C16" s="9"/>
      <c r="D16" s="9"/>
      <c r="E16" s="9"/>
      <c r="F16" s="19">
        <v>3</v>
      </c>
      <c r="G16" s="19">
        <f t="shared" si="0"/>
        <v>3</v>
      </c>
      <c r="H16" s="250"/>
      <c r="I16" s="250"/>
    </row>
    <row r="17" spans="1:9">
      <c r="A17" s="227" t="s">
        <v>161</v>
      </c>
      <c r="B17" s="229"/>
      <c r="C17" s="229"/>
      <c r="D17" s="229"/>
      <c r="E17" s="229"/>
      <c r="F17" s="229"/>
      <c r="G17" s="229"/>
      <c r="H17" s="229"/>
      <c r="I17" s="230"/>
    </row>
    <row r="18" spans="1:9" ht="30.75">
      <c r="A18" s="11">
        <v>10</v>
      </c>
      <c r="B18" s="13" t="s">
        <v>61</v>
      </c>
      <c r="C18" s="13">
        <v>0</v>
      </c>
      <c r="D18" s="20"/>
      <c r="E18" s="20"/>
      <c r="F18" s="20"/>
      <c r="G18" s="20">
        <f>SUM(C18:F18)</f>
        <v>0</v>
      </c>
      <c r="H18" s="234">
        <f>SUM(G18:G26)/9</f>
        <v>1.6666666666666667</v>
      </c>
      <c r="I18" s="234" t="str">
        <f>IF(SUM(G18:G26)/9&gt;=1.44,"Hyperactivity/Impulsive","Relaxed/Apathy")</f>
        <v>Hyperactivity/Impulsive</v>
      </c>
    </row>
    <row r="19" spans="1:9" ht="50.25" customHeight="1">
      <c r="A19" s="11">
        <v>11</v>
      </c>
      <c r="B19" s="13" t="s">
        <v>62</v>
      </c>
      <c r="C19" s="13">
        <v>0</v>
      </c>
      <c r="D19" s="20"/>
      <c r="E19" s="20"/>
      <c r="F19" s="20"/>
      <c r="G19" s="20">
        <f t="shared" ref="G19:G26" si="1">SUM(C19:F19)</f>
        <v>0</v>
      </c>
      <c r="H19" s="235"/>
      <c r="I19" s="235"/>
    </row>
    <row r="20" spans="1:9" ht="31.5" customHeight="1">
      <c r="A20" s="11">
        <v>12</v>
      </c>
      <c r="B20" s="13" t="s">
        <v>63</v>
      </c>
      <c r="C20" s="13"/>
      <c r="D20" s="20">
        <v>1</v>
      </c>
      <c r="E20" s="20"/>
      <c r="F20" s="20"/>
      <c r="G20" s="20">
        <f t="shared" si="1"/>
        <v>1</v>
      </c>
      <c r="H20" s="235"/>
      <c r="I20" s="235"/>
    </row>
    <row r="21" spans="1:9" ht="36" customHeight="1">
      <c r="A21" s="11">
        <v>13</v>
      </c>
      <c r="B21" s="13" t="s">
        <v>64</v>
      </c>
      <c r="C21" s="13"/>
      <c r="D21" s="20">
        <v>1</v>
      </c>
      <c r="E21" s="20"/>
      <c r="F21" s="20"/>
      <c r="G21" s="20">
        <f t="shared" si="1"/>
        <v>1</v>
      </c>
      <c r="H21" s="235"/>
      <c r="I21" s="235"/>
    </row>
    <row r="22" spans="1:9" ht="34.5" customHeight="1">
      <c r="A22" s="11">
        <v>14</v>
      </c>
      <c r="B22" s="13" t="s">
        <v>65</v>
      </c>
      <c r="C22" s="13"/>
      <c r="D22" s="20"/>
      <c r="E22" s="20">
        <v>2</v>
      </c>
      <c r="F22" s="20"/>
      <c r="G22" s="20">
        <f t="shared" si="1"/>
        <v>2</v>
      </c>
      <c r="H22" s="235"/>
      <c r="I22" s="235"/>
    </row>
    <row r="23" spans="1:9">
      <c r="A23" s="11">
        <v>15</v>
      </c>
      <c r="B23" s="13" t="s">
        <v>66</v>
      </c>
      <c r="C23" s="13"/>
      <c r="D23" s="13"/>
      <c r="E23" s="20">
        <v>2</v>
      </c>
      <c r="F23" s="20"/>
      <c r="G23" s="20">
        <f t="shared" si="1"/>
        <v>2</v>
      </c>
      <c r="H23" s="235"/>
      <c r="I23" s="235"/>
    </row>
    <row r="24" spans="1:9" ht="29.25" customHeight="1">
      <c r="A24" s="11">
        <v>16</v>
      </c>
      <c r="B24" s="13" t="s">
        <v>67</v>
      </c>
      <c r="C24" s="13"/>
      <c r="D24" s="20"/>
      <c r="E24" s="20"/>
      <c r="F24" s="20">
        <v>3</v>
      </c>
      <c r="G24" s="20">
        <f t="shared" si="1"/>
        <v>3</v>
      </c>
      <c r="H24" s="235"/>
      <c r="I24" s="235"/>
    </row>
    <row r="25" spans="1:9" ht="20.25" customHeight="1">
      <c r="A25" s="11">
        <v>17</v>
      </c>
      <c r="B25" s="13" t="s">
        <v>68</v>
      </c>
      <c r="C25" s="13"/>
      <c r="D25" s="13"/>
      <c r="E25" s="20"/>
      <c r="F25" s="20">
        <v>3</v>
      </c>
      <c r="G25" s="20">
        <f t="shared" si="1"/>
        <v>3</v>
      </c>
      <c r="H25" s="235"/>
      <c r="I25" s="235"/>
    </row>
    <row r="26" spans="1:9" ht="30.75">
      <c r="A26" s="11">
        <v>18</v>
      </c>
      <c r="B26" s="13" t="s">
        <v>69</v>
      </c>
      <c r="C26" s="13"/>
      <c r="D26" s="20"/>
      <c r="E26" s="20"/>
      <c r="F26" s="20">
        <v>3</v>
      </c>
      <c r="G26" s="20">
        <f t="shared" si="1"/>
        <v>3</v>
      </c>
      <c r="H26" s="236"/>
      <c r="I26" s="236"/>
    </row>
    <row r="27" spans="1:9">
      <c r="A27" s="245" t="s">
        <v>162</v>
      </c>
      <c r="B27" s="246"/>
      <c r="C27" s="246"/>
      <c r="D27" s="246"/>
      <c r="E27" s="246"/>
      <c r="F27" s="246"/>
      <c r="G27" s="246"/>
      <c r="H27" s="246"/>
      <c r="I27" s="247"/>
    </row>
    <row r="28" spans="1:9">
      <c r="A28" s="15">
        <v>19</v>
      </c>
      <c r="B28" s="17" t="s">
        <v>71</v>
      </c>
      <c r="C28" s="17">
        <v>0</v>
      </c>
      <c r="D28" s="17"/>
      <c r="E28" s="21"/>
      <c r="F28" s="21"/>
      <c r="G28" s="21">
        <f>SUM(C28:F28)</f>
        <v>0</v>
      </c>
      <c r="H28" s="241">
        <f>SUM(G28:G35)/8</f>
        <v>1.5</v>
      </c>
      <c r="I28" s="241" t="str">
        <f>IF(SUM(G28:G35)/8&gt;=1.88,"Opositional Deficient","Conduct Disorder")</f>
        <v>Conduct Disorder</v>
      </c>
    </row>
    <row r="29" spans="1:9">
      <c r="A29" s="15">
        <v>20</v>
      </c>
      <c r="B29" s="17" t="s">
        <v>72</v>
      </c>
      <c r="C29" s="17">
        <v>0</v>
      </c>
      <c r="D29" s="17"/>
      <c r="E29" s="21"/>
      <c r="F29" s="21"/>
      <c r="G29" s="21">
        <f t="shared" ref="G29:G35" si="2">SUM(C29:F29)</f>
        <v>0</v>
      </c>
      <c r="H29" s="242"/>
      <c r="I29" s="242"/>
    </row>
    <row r="30" spans="1:9" ht="31.5" customHeight="1">
      <c r="A30" s="15">
        <v>21</v>
      </c>
      <c r="B30" s="17" t="s">
        <v>73</v>
      </c>
      <c r="C30" s="17"/>
      <c r="D30" s="21">
        <v>1</v>
      </c>
      <c r="E30" s="21"/>
      <c r="F30" s="21"/>
      <c r="G30" s="21">
        <f t="shared" si="2"/>
        <v>1</v>
      </c>
      <c r="H30" s="242"/>
      <c r="I30" s="242"/>
    </row>
    <row r="31" spans="1:9" ht="30.75" customHeight="1">
      <c r="A31" s="15">
        <v>22</v>
      </c>
      <c r="B31" s="17" t="s">
        <v>74</v>
      </c>
      <c r="C31" s="17"/>
      <c r="D31" s="21">
        <v>1</v>
      </c>
      <c r="E31" s="21"/>
      <c r="F31" s="21"/>
      <c r="G31" s="21">
        <f t="shared" si="2"/>
        <v>1</v>
      </c>
      <c r="H31" s="242"/>
      <c r="I31" s="242"/>
    </row>
    <row r="32" spans="1:9" ht="33" customHeight="1">
      <c r="A32" s="15">
        <v>23</v>
      </c>
      <c r="B32" s="17" t="s">
        <v>75</v>
      </c>
      <c r="C32" s="17"/>
      <c r="D32" s="21"/>
      <c r="E32" s="21">
        <v>2</v>
      </c>
      <c r="F32" s="21"/>
      <c r="G32" s="21">
        <f t="shared" si="2"/>
        <v>2</v>
      </c>
      <c r="H32" s="242"/>
      <c r="I32" s="242"/>
    </row>
    <row r="33" spans="1:9">
      <c r="A33" s="15">
        <v>24</v>
      </c>
      <c r="B33" s="17" t="s">
        <v>76</v>
      </c>
      <c r="C33" s="17"/>
      <c r="D33" s="17"/>
      <c r="E33" s="21">
        <v>2</v>
      </c>
      <c r="F33" s="21"/>
      <c r="G33" s="21">
        <f t="shared" si="2"/>
        <v>2</v>
      </c>
      <c r="H33" s="242"/>
      <c r="I33" s="242"/>
    </row>
    <row r="34" spans="1:9">
      <c r="A34" s="15">
        <v>25</v>
      </c>
      <c r="B34" s="17" t="s">
        <v>77</v>
      </c>
      <c r="C34" s="17"/>
      <c r="D34" s="17"/>
      <c r="E34" s="21"/>
      <c r="F34" s="21">
        <v>3</v>
      </c>
      <c r="G34" s="21">
        <f t="shared" si="2"/>
        <v>3</v>
      </c>
      <c r="H34" s="242"/>
      <c r="I34" s="242"/>
    </row>
    <row r="35" spans="1:9" ht="18" customHeight="1">
      <c r="A35" s="15">
        <v>26</v>
      </c>
      <c r="B35" s="17" t="s">
        <v>78</v>
      </c>
      <c r="C35" s="17"/>
      <c r="D35" s="17"/>
      <c r="E35" s="21"/>
      <c r="F35" s="21">
        <v>3</v>
      </c>
      <c r="G35" s="21">
        <f t="shared" si="2"/>
        <v>3</v>
      </c>
      <c r="H35" s="243"/>
      <c r="I35" s="243"/>
    </row>
  </sheetData>
  <mergeCells count="10">
    <mergeCell ref="A27:I27"/>
    <mergeCell ref="H28:H35"/>
    <mergeCell ref="I28:I35"/>
    <mergeCell ref="A1:I1"/>
    <mergeCell ref="A7:I7"/>
    <mergeCell ref="H8:H16"/>
    <mergeCell ref="I8:I16"/>
    <mergeCell ref="A17:I17"/>
    <mergeCell ref="H18:H26"/>
    <mergeCell ref="I18:I26"/>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D953F-112A-49B7-9A63-EA0F105C8EF6}">
  <dimension ref="A1:G20"/>
  <sheetViews>
    <sheetView workbookViewId="0">
      <selection activeCell="G17" sqref="G17"/>
    </sheetView>
  </sheetViews>
  <sheetFormatPr defaultRowHeight="15"/>
  <cols>
    <col min="2" max="2" width="28.42578125" customWidth="1"/>
    <col min="3" max="3" width="9.140625" style="23"/>
    <col min="4" max="4" width="19" style="23" customWidth="1"/>
    <col min="5" max="5" width="7.85546875" style="23" customWidth="1"/>
    <col min="6" max="6" width="24.140625" style="5" customWidth="1"/>
    <col min="7" max="7" width="43.7109375" customWidth="1"/>
  </cols>
  <sheetData>
    <row r="1" spans="1:6">
      <c r="A1" s="118" t="s">
        <v>80</v>
      </c>
      <c r="B1" s="118" t="s">
        <v>781</v>
      </c>
      <c r="C1" s="102" t="s">
        <v>782</v>
      </c>
      <c r="D1" s="102" t="s">
        <v>783</v>
      </c>
      <c r="E1" s="102" t="s">
        <v>784</v>
      </c>
      <c r="F1" s="122" t="s">
        <v>369</v>
      </c>
    </row>
    <row r="2" spans="1:6" ht="26.25" customHeight="1">
      <c r="A2" s="112">
        <v>1</v>
      </c>
      <c r="B2" s="112" t="s">
        <v>785</v>
      </c>
      <c r="C2" s="99">
        <v>0</v>
      </c>
      <c r="D2" s="99">
        <v>1</v>
      </c>
      <c r="E2" s="99">
        <v>2</v>
      </c>
      <c r="F2" s="99">
        <v>0</v>
      </c>
    </row>
    <row r="3" spans="1:6">
      <c r="A3" s="98">
        <v>2</v>
      </c>
      <c r="B3" s="112" t="s">
        <v>786</v>
      </c>
      <c r="C3" s="99">
        <v>0</v>
      </c>
      <c r="D3" s="99">
        <v>1</v>
      </c>
      <c r="E3" s="99">
        <v>2</v>
      </c>
      <c r="F3" s="99">
        <v>0</v>
      </c>
    </row>
    <row r="4" spans="1:6" ht="31.5" customHeight="1">
      <c r="A4" s="112">
        <v>3</v>
      </c>
      <c r="B4" s="112" t="s">
        <v>787</v>
      </c>
      <c r="C4" s="99">
        <v>2</v>
      </c>
      <c r="D4" s="99">
        <v>1</v>
      </c>
      <c r="E4" s="99">
        <v>0</v>
      </c>
      <c r="F4" s="99">
        <v>2</v>
      </c>
    </row>
    <row r="5" spans="1:6">
      <c r="A5" s="98">
        <v>4</v>
      </c>
      <c r="B5" s="112" t="s">
        <v>788</v>
      </c>
      <c r="C5" s="99">
        <v>0</v>
      </c>
      <c r="D5" s="99">
        <v>1</v>
      </c>
      <c r="E5" s="99">
        <v>2</v>
      </c>
      <c r="F5" s="99">
        <v>0</v>
      </c>
    </row>
    <row r="6" spans="1:6">
      <c r="A6" s="112">
        <v>5</v>
      </c>
      <c r="B6" s="112" t="s">
        <v>789</v>
      </c>
      <c r="C6" s="99">
        <v>2</v>
      </c>
      <c r="D6" s="99">
        <v>1</v>
      </c>
      <c r="E6" s="99">
        <v>0</v>
      </c>
      <c r="F6" s="99">
        <v>2</v>
      </c>
    </row>
    <row r="7" spans="1:6">
      <c r="A7" s="98">
        <v>6</v>
      </c>
      <c r="B7" s="112" t="s">
        <v>790</v>
      </c>
      <c r="C7" s="99">
        <v>2</v>
      </c>
      <c r="D7" s="99">
        <v>1</v>
      </c>
      <c r="E7" s="99">
        <v>0</v>
      </c>
      <c r="F7" s="99">
        <v>2</v>
      </c>
    </row>
    <row r="8" spans="1:6">
      <c r="A8" s="112">
        <v>7</v>
      </c>
      <c r="B8" s="112" t="s">
        <v>791</v>
      </c>
      <c r="C8" s="99">
        <v>0</v>
      </c>
      <c r="D8" s="99">
        <v>1</v>
      </c>
      <c r="E8" s="99">
        <v>2</v>
      </c>
      <c r="F8" s="99">
        <v>0</v>
      </c>
    </row>
    <row r="9" spans="1:6">
      <c r="A9" s="98">
        <v>8</v>
      </c>
      <c r="B9" s="112" t="s">
        <v>792</v>
      </c>
      <c r="C9" s="99">
        <v>0</v>
      </c>
      <c r="D9" s="99">
        <v>1</v>
      </c>
      <c r="E9" s="99">
        <v>2</v>
      </c>
      <c r="F9" s="99">
        <v>0</v>
      </c>
    </row>
    <row r="10" spans="1:6">
      <c r="A10" s="112">
        <v>9</v>
      </c>
      <c r="B10" s="112" t="s">
        <v>793</v>
      </c>
      <c r="C10" s="99">
        <v>0</v>
      </c>
      <c r="D10" s="99">
        <v>1</v>
      </c>
      <c r="E10" s="99">
        <v>2</v>
      </c>
      <c r="F10" s="99">
        <v>0</v>
      </c>
    </row>
    <row r="11" spans="1:6">
      <c r="A11" s="98">
        <v>10</v>
      </c>
      <c r="B11" s="112" t="s">
        <v>794</v>
      </c>
      <c r="C11" s="99">
        <v>2</v>
      </c>
      <c r="D11" s="99">
        <v>1</v>
      </c>
      <c r="E11" s="99">
        <v>0</v>
      </c>
      <c r="F11" s="99">
        <v>2</v>
      </c>
    </row>
    <row r="12" spans="1:6">
      <c r="A12" s="112">
        <v>11</v>
      </c>
      <c r="B12" s="112" t="s">
        <v>795</v>
      </c>
      <c r="C12" s="99">
        <v>0</v>
      </c>
      <c r="D12" s="99">
        <v>1</v>
      </c>
      <c r="E12" s="99">
        <v>2</v>
      </c>
      <c r="F12" s="99">
        <v>0</v>
      </c>
    </row>
    <row r="13" spans="1:6" ht="30.75">
      <c r="A13" s="98">
        <v>12</v>
      </c>
      <c r="B13" s="112" t="s">
        <v>796</v>
      </c>
      <c r="C13" s="99">
        <v>0</v>
      </c>
      <c r="D13" s="99">
        <v>1</v>
      </c>
      <c r="E13" s="99">
        <v>2</v>
      </c>
      <c r="F13" s="99">
        <v>0</v>
      </c>
    </row>
    <row r="14" spans="1:6">
      <c r="A14" s="112">
        <v>13</v>
      </c>
      <c r="B14" s="112" t="s">
        <v>797</v>
      </c>
      <c r="C14" s="99">
        <v>0</v>
      </c>
      <c r="D14" s="99">
        <v>1</v>
      </c>
      <c r="E14" s="99">
        <v>2</v>
      </c>
      <c r="F14" s="99">
        <v>0</v>
      </c>
    </row>
    <row r="15" spans="1:6">
      <c r="A15" s="98">
        <v>14</v>
      </c>
      <c r="B15" s="112" t="s">
        <v>798</v>
      </c>
      <c r="C15" s="99">
        <v>2</v>
      </c>
      <c r="D15" s="99">
        <v>1</v>
      </c>
      <c r="E15" s="99">
        <v>0</v>
      </c>
      <c r="F15" s="99">
        <v>1</v>
      </c>
    </row>
    <row r="16" spans="1:6">
      <c r="A16" s="112">
        <v>15</v>
      </c>
      <c r="B16" s="112" t="s">
        <v>799</v>
      </c>
      <c r="C16" s="99">
        <v>2</v>
      </c>
      <c r="D16" s="99">
        <v>1</v>
      </c>
      <c r="E16" s="99">
        <v>0</v>
      </c>
      <c r="F16" s="99">
        <v>1</v>
      </c>
    </row>
    <row r="17" spans="1:7">
      <c r="A17" s="98">
        <v>16</v>
      </c>
      <c r="B17" s="112" t="s">
        <v>800</v>
      </c>
      <c r="C17" s="99">
        <v>0</v>
      </c>
      <c r="D17" s="99">
        <v>1</v>
      </c>
      <c r="E17" s="99">
        <v>2</v>
      </c>
      <c r="F17" s="99">
        <v>1</v>
      </c>
    </row>
    <row r="18" spans="1:7">
      <c r="A18" s="112">
        <v>17</v>
      </c>
      <c r="B18" s="112" t="s">
        <v>801</v>
      </c>
      <c r="C18" s="99">
        <v>2</v>
      </c>
      <c r="D18" s="99">
        <v>1</v>
      </c>
      <c r="E18" s="99">
        <v>0</v>
      </c>
      <c r="F18" s="99">
        <v>1</v>
      </c>
    </row>
    <row r="19" spans="1:7">
      <c r="A19" s="109">
        <v>18</v>
      </c>
      <c r="B19" s="119" t="s">
        <v>802</v>
      </c>
      <c r="C19" s="120">
        <v>2</v>
      </c>
      <c r="D19" s="120">
        <v>1</v>
      </c>
      <c r="E19" s="120">
        <v>0</v>
      </c>
      <c r="F19" s="120">
        <v>1</v>
      </c>
    </row>
    <row r="20" spans="1:7">
      <c r="A20" s="288" t="s">
        <v>803</v>
      </c>
      <c r="B20" s="289"/>
      <c r="C20" s="289"/>
      <c r="D20" s="289"/>
      <c r="E20" s="289"/>
      <c r="F20" s="117">
        <f>SUM(F2:F19)</f>
        <v>13</v>
      </c>
      <c r="G20" s="121" t="str">
        <f>IF(SUM(F20)&gt;=15,"Indicates Major Depression or Dysthymia","No Indicates Major Depression or Dysthymia")</f>
        <v>No Indicates Major Depression or Dysthymia</v>
      </c>
    </row>
  </sheetData>
  <mergeCells count="1">
    <mergeCell ref="A20:E20"/>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2D516-D47F-4600-9935-B889ACDC1109}">
  <dimension ref="A1:U83"/>
  <sheetViews>
    <sheetView topLeftCell="E1" workbookViewId="0">
      <selection activeCell="P16" sqref="P16"/>
    </sheetView>
  </sheetViews>
  <sheetFormatPr defaultRowHeight="15"/>
  <cols>
    <col min="2" max="5" width="36.5703125" bestFit="1" customWidth="1"/>
    <col min="6" max="6" width="13" customWidth="1"/>
    <col min="7" max="7" width="22.5703125" customWidth="1"/>
    <col min="8" max="8" width="11.85546875" bestFit="1" customWidth="1"/>
    <col min="16" max="16" width="31.85546875" bestFit="1" customWidth="1"/>
    <col min="17" max="17" width="18.7109375" bestFit="1" customWidth="1"/>
    <col min="18" max="18" width="9.140625" bestFit="1" customWidth="1"/>
    <col min="19" max="19" width="36.5703125" style="5" bestFit="1" customWidth="1"/>
    <col min="20" max="20" width="36.5703125" bestFit="1" customWidth="1"/>
    <col min="21" max="21" width="31.85546875" bestFit="1" customWidth="1"/>
  </cols>
  <sheetData>
    <row r="1" spans="1:21" ht="30.75">
      <c r="A1" s="61" t="s">
        <v>1</v>
      </c>
      <c r="B1" s="118" t="s">
        <v>81</v>
      </c>
      <c r="C1" s="128" t="s">
        <v>804</v>
      </c>
      <c r="D1" s="128" t="s">
        <v>805</v>
      </c>
      <c r="E1" s="128" t="s">
        <v>806</v>
      </c>
      <c r="F1" s="118" t="s">
        <v>807</v>
      </c>
      <c r="G1" s="118" t="s">
        <v>808</v>
      </c>
      <c r="H1" s="61" t="s">
        <v>809</v>
      </c>
    </row>
    <row r="2" spans="1:21">
      <c r="A2">
        <v>1</v>
      </c>
      <c r="B2" s="112" t="s">
        <v>810</v>
      </c>
      <c r="C2" s="98">
        <v>1</v>
      </c>
      <c r="D2" s="98"/>
      <c r="E2" s="98"/>
      <c r="F2" s="98"/>
      <c r="G2" s="98" t="str">
        <f>VLOOKUP(B2,ATEC_Questions_Group,2,FALSE)</f>
        <v xml:space="preserve"> Speech/Language/Communication </v>
      </c>
      <c r="H2">
        <f>SUM(C2:F2)</f>
        <v>1</v>
      </c>
    </row>
    <row r="3" spans="1:21">
      <c r="A3">
        <v>2</v>
      </c>
      <c r="B3" s="112" t="s">
        <v>811</v>
      </c>
      <c r="C3" s="98">
        <v>1</v>
      </c>
      <c r="D3" s="98"/>
      <c r="E3" s="98"/>
      <c r="F3" s="98"/>
      <c r="G3" s="98" t="str">
        <f>VLOOKUP(B3,ATEC_Questions_Group,2,FALSE)</f>
        <v xml:space="preserve"> Speech/Language/Communication </v>
      </c>
      <c r="H3">
        <f t="shared" ref="H3:H66" si="0">SUM(C3:F3)</f>
        <v>1</v>
      </c>
      <c r="S3" s="124"/>
      <c r="T3" s="129" t="s">
        <v>812</v>
      </c>
      <c r="U3" s="98"/>
    </row>
    <row r="4" spans="1:21">
      <c r="A4">
        <v>3</v>
      </c>
      <c r="B4" s="112" t="s">
        <v>813</v>
      </c>
      <c r="C4" s="98">
        <v>1</v>
      </c>
      <c r="D4" s="98"/>
      <c r="E4" s="98"/>
      <c r="F4" s="98"/>
      <c r="G4" s="98" t="str">
        <f>VLOOKUP(B4,ATEC_Questions_Group,2,FALSE)</f>
        <v xml:space="preserve"> Speech/Language/Communication </v>
      </c>
      <c r="H4">
        <f t="shared" si="0"/>
        <v>1</v>
      </c>
      <c r="S4" s="125">
        <v>1</v>
      </c>
      <c r="T4" s="112" t="s">
        <v>810</v>
      </c>
      <c r="U4" s="104" t="s">
        <v>814</v>
      </c>
    </row>
    <row r="5" spans="1:21" ht="30.75">
      <c r="A5">
        <v>4</v>
      </c>
      <c r="B5" s="112" t="s">
        <v>815</v>
      </c>
      <c r="C5" s="98">
        <v>1</v>
      </c>
      <c r="D5" s="98"/>
      <c r="E5" s="98"/>
      <c r="F5" s="98"/>
      <c r="G5" s="98" t="str">
        <f>VLOOKUP(B5,ATEC_Questions_Group,2,FALSE)</f>
        <v xml:space="preserve"> Speech/Language/Communication </v>
      </c>
      <c r="H5">
        <f t="shared" si="0"/>
        <v>1</v>
      </c>
      <c r="S5" s="125">
        <v>2</v>
      </c>
      <c r="T5" s="112" t="s">
        <v>811</v>
      </c>
      <c r="U5" s="104" t="s">
        <v>814</v>
      </c>
    </row>
    <row r="6" spans="1:21" ht="30.75">
      <c r="A6">
        <v>5</v>
      </c>
      <c r="B6" s="112" t="s">
        <v>816</v>
      </c>
      <c r="C6" s="98">
        <v>1</v>
      </c>
      <c r="D6" s="98"/>
      <c r="E6" s="98"/>
      <c r="F6" s="98"/>
      <c r="G6" s="98" t="str">
        <f>VLOOKUP(B6,ATEC_Questions_Group,2,FALSE)</f>
        <v xml:space="preserve"> Speech/Language/Communication </v>
      </c>
      <c r="H6">
        <f t="shared" si="0"/>
        <v>1</v>
      </c>
      <c r="P6" s="55" t="s">
        <v>808</v>
      </c>
      <c r="Q6" t="s">
        <v>817</v>
      </c>
      <c r="S6" s="125">
        <v>3</v>
      </c>
      <c r="T6" s="112" t="s">
        <v>813</v>
      </c>
      <c r="U6" s="104" t="s">
        <v>814</v>
      </c>
    </row>
    <row r="7" spans="1:21" ht="30.75">
      <c r="A7">
        <v>6</v>
      </c>
      <c r="B7" s="112" t="s">
        <v>818</v>
      </c>
      <c r="C7" s="98"/>
      <c r="D7" s="98">
        <v>2</v>
      </c>
      <c r="E7" s="98"/>
      <c r="F7" s="98"/>
      <c r="G7" s="98" t="str">
        <f>VLOOKUP(B7,ATEC_Questions_Group,2,FALSE)</f>
        <v xml:space="preserve"> Speech/Language/Communication </v>
      </c>
      <c r="H7">
        <f t="shared" si="0"/>
        <v>2</v>
      </c>
      <c r="P7" t="s">
        <v>819</v>
      </c>
      <c r="Q7">
        <v>39</v>
      </c>
      <c r="S7" s="125">
        <v>4</v>
      </c>
      <c r="T7" s="112" t="s">
        <v>815</v>
      </c>
      <c r="U7" s="104" t="s">
        <v>814</v>
      </c>
    </row>
    <row r="8" spans="1:21">
      <c r="A8">
        <v>7</v>
      </c>
      <c r="B8" s="112" t="s">
        <v>820</v>
      </c>
      <c r="C8" s="98"/>
      <c r="D8" s="98">
        <v>2</v>
      </c>
      <c r="E8" s="98"/>
      <c r="F8" s="98"/>
      <c r="G8" s="98" t="str">
        <f>VLOOKUP(B8,ATEC_Questions_Group,2,FALSE)</f>
        <v xml:space="preserve"> Speech/Language/Communication </v>
      </c>
      <c r="H8">
        <f t="shared" si="0"/>
        <v>2</v>
      </c>
      <c r="P8" t="s">
        <v>814</v>
      </c>
      <c r="Q8">
        <v>27</v>
      </c>
      <c r="S8" s="125">
        <v>5</v>
      </c>
      <c r="T8" s="112" t="s">
        <v>816</v>
      </c>
      <c r="U8" s="104" t="s">
        <v>814</v>
      </c>
    </row>
    <row r="9" spans="1:21">
      <c r="A9">
        <v>8</v>
      </c>
      <c r="B9" s="112" t="s">
        <v>821</v>
      </c>
      <c r="C9" s="98"/>
      <c r="D9" s="98">
        <v>2</v>
      </c>
      <c r="E9" s="98"/>
      <c r="F9" s="98"/>
      <c r="G9" s="98" t="str">
        <f>VLOOKUP(B9,ATEC_Questions_Group,2,FALSE)</f>
        <v xml:space="preserve"> Speech/Language/Communication </v>
      </c>
      <c r="H9">
        <f t="shared" si="0"/>
        <v>2</v>
      </c>
      <c r="P9" t="s">
        <v>822</v>
      </c>
      <c r="Q9">
        <v>70</v>
      </c>
      <c r="S9" s="125">
        <v>6</v>
      </c>
      <c r="T9" s="112" t="s">
        <v>818</v>
      </c>
      <c r="U9" s="104" t="s">
        <v>814</v>
      </c>
    </row>
    <row r="10" spans="1:21">
      <c r="A10">
        <v>9</v>
      </c>
      <c r="B10" s="112" t="s">
        <v>823</v>
      </c>
      <c r="C10" s="98"/>
      <c r="D10" s="98">
        <v>2</v>
      </c>
      <c r="E10" s="98"/>
      <c r="F10" s="98"/>
      <c r="G10" s="98" t="str">
        <f>VLOOKUP(B10,ATEC_Questions_Group,2,FALSE)</f>
        <v xml:space="preserve"> Speech/Language/Communication </v>
      </c>
      <c r="H10">
        <f t="shared" si="0"/>
        <v>2</v>
      </c>
      <c r="P10" t="s">
        <v>824</v>
      </c>
      <c r="Q10">
        <v>36</v>
      </c>
      <c r="S10" s="125">
        <v>7</v>
      </c>
      <c r="T10" s="112" t="s">
        <v>820</v>
      </c>
      <c r="U10" s="104" t="s">
        <v>814</v>
      </c>
    </row>
    <row r="11" spans="1:21">
      <c r="A11">
        <v>10</v>
      </c>
      <c r="B11" s="112" t="s">
        <v>825</v>
      </c>
      <c r="C11" s="98"/>
      <c r="D11" s="98">
        <v>2</v>
      </c>
      <c r="E11" s="98"/>
      <c r="F11" s="98"/>
      <c r="G11" s="98" t="str">
        <f>VLOOKUP(B11,ATEC_Questions_Group,2,FALSE)</f>
        <v xml:space="preserve"> Speech/Language/Communication </v>
      </c>
      <c r="H11">
        <f t="shared" si="0"/>
        <v>2</v>
      </c>
      <c r="P11" t="s">
        <v>346</v>
      </c>
      <c r="S11" s="125">
        <v>8</v>
      </c>
      <c r="T11" s="112" t="s">
        <v>821</v>
      </c>
      <c r="U11" s="104" t="s">
        <v>814</v>
      </c>
    </row>
    <row r="12" spans="1:21">
      <c r="A12">
        <v>11</v>
      </c>
      <c r="B12" s="112" t="s">
        <v>826</v>
      </c>
      <c r="C12" s="98"/>
      <c r="D12" s="98"/>
      <c r="E12" s="98">
        <v>3</v>
      </c>
      <c r="F12" s="98"/>
      <c r="G12" s="98" t="str">
        <f>VLOOKUP(B12,ATEC_Questions_Group,2,FALSE)</f>
        <v xml:space="preserve"> Speech/Language/Communication </v>
      </c>
      <c r="H12">
        <f t="shared" si="0"/>
        <v>3</v>
      </c>
      <c r="P12" t="s">
        <v>347</v>
      </c>
      <c r="Q12">
        <v>172</v>
      </c>
      <c r="S12" s="125">
        <v>9</v>
      </c>
      <c r="T12" s="112" t="s">
        <v>823</v>
      </c>
      <c r="U12" s="104" t="s">
        <v>814</v>
      </c>
    </row>
    <row r="13" spans="1:21">
      <c r="A13">
        <v>12</v>
      </c>
      <c r="B13" s="112" t="s">
        <v>827</v>
      </c>
      <c r="C13" s="98"/>
      <c r="D13" s="98"/>
      <c r="E13" s="98">
        <v>3</v>
      </c>
      <c r="F13" s="98"/>
      <c r="G13" s="98" t="str">
        <f>VLOOKUP(B13,ATEC_Questions_Group,2,FALSE)</f>
        <v xml:space="preserve"> Speech/Language/Communication </v>
      </c>
      <c r="H13">
        <f t="shared" si="0"/>
        <v>3</v>
      </c>
      <c r="Q13" s="42" t="str">
        <f>IF(Q12&lt;=30, "Minimal concerns", IF(Q12&lt;=60, "Mild to moderate issues", IF(Q12&lt;=90, "Moderate to severe issues", "Severe challenges")))</f>
        <v>Severe challenges</v>
      </c>
      <c r="S13" s="125">
        <v>10</v>
      </c>
      <c r="T13" s="112" t="s">
        <v>825</v>
      </c>
      <c r="U13" s="104" t="s">
        <v>814</v>
      </c>
    </row>
    <row r="14" spans="1:21">
      <c r="A14">
        <v>13</v>
      </c>
      <c r="B14" s="112" t="s">
        <v>828</v>
      </c>
      <c r="C14" s="98"/>
      <c r="D14" s="98"/>
      <c r="E14" s="98">
        <v>3</v>
      </c>
      <c r="F14" s="98"/>
      <c r="G14" s="98" t="str">
        <f>VLOOKUP(B14,ATEC_Questions_Group,2,FALSE)</f>
        <v xml:space="preserve"> Speech/Language/Communication </v>
      </c>
      <c r="H14">
        <f t="shared" si="0"/>
        <v>3</v>
      </c>
      <c r="S14" s="125">
        <v>11</v>
      </c>
      <c r="T14" s="112" t="s">
        <v>826</v>
      </c>
      <c r="U14" s="104" t="s">
        <v>814</v>
      </c>
    </row>
    <row r="15" spans="1:21" ht="30.75">
      <c r="A15">
        <v>14</v>
      </c>
      <c r="B15" s="112" t="s">
        <v>829</v>
      </c>
      <c r="C15" s="98"/>
      <c r="D15" s="98"/>
      <c r="E15" s="98">
        <v>3</v>
      </c>
      <c r="F15" s="98"/>
      <c r="G15" s="98" t="str">
        <f>VLOOKUP(B15,ATEC_Questions_Group,2,FALSE)</f>
        <v xml:space="preserve"> Speech/Language/Communication </v>
      </c>
      <c r="H15">
        <f t="shared" si="0"/>
        <v>3</v>
      </c>
      <c r="S15" s="125">
        <v>12</v>
      </c>
      <c r="T15" s="112" t="s">
        <v>827</v>
      </c>
      <c r="U15" s="104" t="s">
        <v>814</v>
      </c>
    </row>
    <row r="16" spans="1:21" ht="30.75">
      <c r="A16">
        <v>15</v>
      </c>
      <c r="B16" s="112" t="s">
        <v>830</v>
      </c>
      <c r="C16" s="98">
        <v>1</v>
      </c>
      <c r="D16" s="98"/>
      <c r="E16" s="98"/>
      <c r="F16" s="98"/>
      <c r="G16" s="98" t="str">
        <f>VLOOKUP(B16,ATEC_Questions_Group,2,FALSE)</f>
        <v xml:space="preserve"> Sociability</v>
      </c>
      <c r="H16">
        <f t="shared" si="0"/>
        <v>1</v>
      </c>
      <c r="S16" s="125">
        <v>13</v>
      </c>
      <c r="T16" s="112" t="s">
        <v>828</v>
      </c>
      <c r="U16" s="104" t="s">
        <v>814</v>
      </c>
    </row>
    <row r="17" spans="1:21">
      <c r="A17">
        <v>16</v>
      </c>
      <c r="B17" s="112" t="s">
        <v>831</v>
      </c>
      <c r="C17" s="98">
        <v>1</v>
      </c>
      <c r="D17" s="98"/>
      <c r="E17" s="98"/>
      <c r="F17" s="98"/>
      <c r="G17" s="98" t="str">
        <f>VLOOKUP(B17,ATEC_Questions_Group,2,FALSE)</f>
        <v xml:space="preserve"> Sociability</v>
      </c>
      <c r="H17">
        <f t="shared" si="0"/>
        <v>1</v>
      </c>
      <c r="S17" s="125">
        <v>14</v>
      </c>
      <c r="T17" s="112" t="s">
        <v>829</v>
      </c>
      <c r="U17" s="104" t="s">
        <v>814</v>
      </c>
    </row>
    <row r="18" spans="1:21" ht="30.75">
      <c r="A18">
        <v>17</v>
      </c>
      <c r="B18" s="112" t="s">
        <v>832</v>
      </c>
      <c r="C18" s="98">
        <v>1</v>
      </c>
      <c r="D18" s="98"/>
      <c r="E18" s="98"/>
      <c r="F18" s="98"/>
      <c r="G18" s="98" t="str">
        <f>VLOOKUP(B18,ATEC_Questions_Group,2,FALSE)</f>
        <v xml:space="preserve"> Sociability</v>
      </c>
      <c r="H18">
        <f t="shared" si="0"/>
        <v>1</v>
      </c>
      <c r="S18" s="124"/>
      <c r="T18" s="127" t="s">
        <v>833</v>
      </c>
      <c r="U18" s="112"/>
    </row>
    <row r="19" spans="1:21">
      <c r="A19">
        <v>18</v>
      </c>
      <c r="B19" s="112" t="s">
        <v>834</v>
      </c>
      <c r="C19" s="98">
        <v>1</v>
      </c>
      <c r="D19" s="98"/>
      <c r="E19" s="98"/>
      <c r="F19" s="98"/>
      <c r="G19" s="98" t="str">
        <f>VLOOKUP(B19,ATEC_Questions_Group,2,FALSE)</f>
        <v xml:space="preserve"> Sociability</v>
      </c>
      <c r="H19">
        <f t="shared" si="0"/>
        <v>1</v>
      </c>
      <c r="S19" s="124">
        <v>15</v>
      </c>
      <c r="T19" s="29" t="s">
        <v>830</v>
      </c>
      <c r="U19" s="98" t="s">
        <v>819</v>
      </c>
    </row>
    <row r="20" spans="1:21">
      <c r="A20">
        <v>19</v>
      </c>
      <c r="B20" s="112" t="s">
        <v>835</v>
      </c>
      <c r="C20" s="98">
        <v>1</v>
      </c>
      <c r="D20" s="98"/>
      <c r="E20" s="98"/>
      <c r="F20" s="98"/>
      <c r="G20" s="98" t="str">
        <f>VLOOKUP(B20,ATEC_Questions_Group,2,FALSE)</f>
        <v xml:space="preserve"> Sociability</v>
      </c>
      <c r="H20">
        <f t="shared" si="0"/>
        <v>1</v>
      </c>
      <c r="S20" s="124">
        <v>16</v>
      </c>
      <c r="T20" s="29" t="s">
        <v>831</v>
      </c>
      <c r="U20" s="98" t="s">
        <v>819</v>
      </c>
    </row>
    <row r="21" spans="1:21">
      <c r="A21">
        <v>20</v>
      </c>
      <c r="B21" s="112" t="s">
        <v>836</v>
      </c>
      <c r="C21" s="98"/>
      <c r="D21" s="98">
        <v>2</v>
      </c>
      <c r="E21" s="98"/>
      <c r="F21" s="98"/>
      <c r="G21" s="98" t="str">
        <f>VLOOKUP(B21,ATEC_Questions_Group,2,FALSE)</f>
        <v xml:space="preserve"> Sociability</v>
      </c>
      <c r="H21">
        <f t="shared" si="0"/>
        <v>2</v>
      </c>
      <c r="S21" s="124">
        <v>17</v>
      </c>
      <c r="T21" s="29" t="s">
        <v>832</v>
      </c>
      <c r="U21" s="98" t="s">
        <v>819</v>
      </c>
    </row>
    <row r="22" spans="1:21">
      <c r="A22">
        <v>21</v>
      </c>
      <c r="B22" s="112" t="s">
        <v>837</v>
      </c>
      <c r="C22" s="98"/>
      <c r="D22" s="98">
        <v>2</v>
      </c>
      <c r="E22" s="98"/>
      <c r="F22" s="98"/>
      <c r="G22" s="98" t="str">
        <f>VLOOKUP(B22,ATEC_Questions_Group,2,FALSE)</f>
        <v xml:space="preserve"> Sociability</v>
      </c>
      <c r="H22">
        <f t="shared" si="0"/>
        <v>2</v>
      </c>
      <c r="S22" s="124">
        <v>18</v>
      </c>
      <c r="T22" s="29" t="s">
        <v>834</v>
      </c>
      <c r="U22" s="98" t="s">
        <v>819</v>
      </c>
    </row>
    <row r="23" spans="1:21">
      <c r="A23">
        <v>22</v>
      </c>
      <c r="B23" s="112" t="s">
        <v>838</v>
      </c>
      <c r="C23" s="98"/>
      <c r="D23" s="98">
        <v>2</v>
      </c>
      <c r="E23" s="98"/>
      <c r="F23" s="98"/>
      <c r="G23" s="98" t="str">
        <f>VLOOKUP(B23,ATEC_Questions_Group,2,FALSE)</f>
        <v xml:space="preserve"> Sociability</v>
      </c>
      <c r="H23">
        <f t="shared" si="0"/>
        <v>2</v>
      </c>
      <c r="S23" s="124">
        <v>19</v>
      </c>
      <c r="T23" s="29" t="s">
        <v>835</v>
      </c>
      <c r="U23" s="98" t="s">
        <v>819</v>
      </c>
    </row>
    <row r="24" spans="1:21">
      <c r="A24">
        <v>23</v>
      </c>
      <c r="B24" s="112" t="s">
        <v>839</v>
      </c>
      <c r="C24" s="98"/>
      <c r="D24" s="98">
        <v>2</v>
      </c>
      <c r="E24" s="98"/>
      <c r="F24" s="98"/>
      <c r="G24" s="98" t="str">
        <f>VLOOKUP(B24,ATEC_Questions_Group,2,FALSE)</f>
        <v xml:space="preserve"> Sociability</v>
      </c>
      <c r="H24">
        <f t="shared" si="0"/>
        <v>2</v>
      </c>
      <c r="S24" s="124">
        <v>20</v>
      </c>
      <c r="T24" s="29" t="s">
        <v>836</v>
      </c>
      <c r="U24" s="98" t="s">
        <v>819</v>
      </c>
    </row>
    <row r="25" spans="1:21">
      <c r="A25">
        <v>24</v>
      </c>
      <c r="B25" s="112" t="s">
        <v>840</v>
      </c>
      <c r="C25" s="98"/>
      <c r="D25" s="98">
        <v>2</v>
      </c>
      <c r="E25" s="98"/>
      <c r="F25" s="98"/>
      <c r="G25" s="98" t="str">
        <f>VLOOKUP(B25,ATEC_Questions_Group,2,FALSE)</f>
        <v xml:space="preserve"> Sociability</v>
      </c>
      <c r="H25">
        <f t="shared" si="0"/>
        <v>2</v>
      </c>
      <c r="S25" s="124">
        <v>21</v>
      </c>
      <c r="T25" s="29" t="s">
        <v>837</v>
      </c>
      <c r="U25" s="98" t="s">
        <v>819</v>
      </c>
    </row>
    <row r="26" spans="1:21">
      <c r="A26">
        <v>25</v>
      </c>
      <c r="B26" s="112" t="s">
        <v>841</v>
      </c>
      <c r="C26" s="98"/>
      <c r="D26" s="98">
        <v>2</v>
      </c>
      <c r="E26" s="98"/>
      <c r="F26" s="98"/>
      <c r="G26" s="98" t="str">
        <f>VLOOKUP(B26,ATEC_Questions_Group,2,FALSE)</f>
        <v xml:space="preserve"> Sociability</v>
      </c>
      <c r="H26">
        <f t="shared" si="0"/>
        <v>2</v>
      </c>
      <c r="S26" s="124">
        <v>22</v>
      </c>
      <c r="T26" s="29" t="s">
        <v>838</v>
      </c>
      <c r="U26" s="98" t="s">
        <v>819</v>
      </c>
    </row>
    <row r="27" spans="1:21">
      <c r="A27">
        <v>26</v>
      </c>
      <c r="B27" s="112" t="s">
        <v>842</v>
      </c>
      <c r="C27" s="98"/>
      <c r="D27" s="98"/>
      <c r="E27" s="98">
        <v>3</v>
      </c>
      <c r="F27" s="98"/>
      <c r="G27" s="98" t="str">
        <f>VLOOKUP(B27,ATEC_Questions_Group,2,FALSE)</f>
        <v xml:space="preserve"> Sociability</v>
      </c>
      <c r="H27">
        <f t="shared" si="0"/>
        <v>3</v>
      </c>
      <c r="S27" s="124">
        <v>23</v>
      </c>
      <c r="T27" s="29" t="s">
        <v>839</v>
      </c>
      <c r="U27" s="98" t="s">
        <v>819</v>
      </c>
    </row>
    <row r="28" spans="1:21">
      <c r="A28">
        <v>27</v>
      </c>
      <c r="B28" s="112" t="s">
        <v>843</v>
      </c>
      <c r="C28" s="98"/>
      <c r="D28" s="98"/>
      <c r="E28" s="98">
        <v>3</v>
      </c>
      <c r="F28" s="98"/>
      <c r="G28" s="98" t="str">
        <f>VLOOKUP(B28,ATEC_Questions_Group,2,FALSE)</f>
        <v xml:space="preserve"> Sociability</v>
      </c>
      <c r="H28">
        <f t="shared" si="0"/>
        <v>3</v>
      </c>
      <c r="S28" s="124">
        <v>24</v>
      </c>
      <c r="T28" s="29" t="s">
        <v>840</v>
      </c>
      <c r="U28" s="98" t="s">
        <v>819</v>
      </c>
    </row>
    <row r="29" spans="1:21">
      <c r="A29">
        <v>28</v>
      </c>
      <c r="B29" s="112" t="s">
        <v>844</v>
      </c>
      <c r="C29" s="98"/>
      <c r="D29" s="98"/>
      <c r="E29" s="98">
        <v>3</v>
      </c>
      <c r="F29" s="98"/>
      <c r="G29" s="98" t="str">
        <f>VLOOKUP(B29,ATEC_Questions_Group,2,FALSE)</f>
        <v xml:space="preserve"> Sociability</v>
      </c>
      <c r="H29">
        <f t="shared" si="0"/>
        <v>3</v>
      </c>
      <c r="S29" s="124">
        <v>25</v>
      </c>
      <c r="T29" s="29" t="s">
        <v>841</v>
      </c>
      <c r="U29" s="98" t="s">
        <v>819</v>
      </c>
    </row>
    <row r="30" spans="1:21">
      <c r="A30">
        <v>29</v>
      </c>
      <c r="B30" s="112" t="s">
        <v>845</v>
      </c>
      <c r="C30" s="98"/>
      <c r="D30" s="98"/>
      <c r="E30" s="98">
        <v>3</v>
      </c>
      <c r="F30" s="98"/>
      <c r="G30" s="98" t="str">
        <f>VLOOKUP(B30,ATEC_Questions_Group,2,FALSE)</f>
        <v xml:space="preserve"> Sociability</v>
      </c>
      <c r="H30">
        <f t="shared" si="0"/>
        <v>3</v>
      </c>
      <c r="S30" s="124">
        <v>26</v>
      </c>
      <c r="T30" s="29" t="s">
        <v>842</v>
      </c>
      <c r="U30" s="98" t="s">
        <v>819</v>
      </c>
    </row>
    <row r="31" spans="1:21">
      <c r="A31">
        <v>30</v>
      </c>
      <c r="B31" s="112" t="s">
        <v>846</v>
      </c>
      <c r="C31" s="98"/>
      <c r="D31" s="98"/>
      <c r="E31" s="98">
        <v>3</v>
      </c>
      <c r="F31" s="98"/>
      <c r="G31" s="98" t="str">
        <f>VLOOKUP(B31,ATEC_Questions_Group,2,FALSE)</f>
        <v xml:space="preserve"> Sociability</v>
      </c>
      <c r="H31">
        <f t="shared" si="0"/>
        <v>3</v>
      </c>
      <c r="S31" s="124">
        <v>27</v>
      </c>
      <c r="T31" s="29" t="s">
        <v>843</v>
      </c>
      <c r="U31" s="98" t="s">
        <v>819</v>
      </c>
    </row>
    <row r="32" spans="1:21">
      <c r="A32">
        <v>31</v>
      </c>
      <c r="B32" s="112" t="s">
        <v>847</v>
      </c>
      <c r="C32" s="98"/>
      <c r="D32" s="98"/>
      <c r="E32" s="98">
        <v>3</v>
      </c>
      <c r="F32" s="98"/>
      <c r="G32" s="98" t="str">
        <f>VLOOKUP(B32,ATEC_Questions_Group,2,FALSE)</f>
        <v xml:space="preserve"> Sociability</v>
      </c>
      <c r="H32">
        <f t="shared" si="0"/>
        <v>3</v>
      </c>
      <c r="S32" s="124">
        <v>28</v>
      </c>
      <c r="T32" s="29" t="s">
        <v>844</v>
      </c>
      <c r="U32" s="98" t="s">
        <v>819</v>
      </c>
    </row>
    <row r="33" spans="1:21">
      <c r="A33">
        <v>32</v>
      </c>
      <c r="B33" s="112" t="s">
        <v>848</v>
      </c>
      <c r="C33" s="98">
        <v>1</v>
      </c>
      <c r="D33" s="98"/>
      <c r="E33" s="98"/>
      <c r="F33" s="98"/>
      <c r="G33" s="98" t="str">
        <f>VLOOKUP(B33,ATEC_Questions_Group,2,FALSE)</f>
        <v xml:space="preserve"> Sociability</v>
      </c>
      <c r="H33">
        <f t="shared" si="0"/>
        <v>1</v>
      </c>
      <c r="S33" s="124">
        <v>29</v>
      </c>
      <c r="T33" s="29" t="s">
        <v>845</v>
      </c>
      <c r="U33" s="98" t="s">
        <v>819</v>
      </c>
    </row>
    <row r="34" spans="1:21">
      <c r="A34">
        <v>33</v>
      </c>
      <c r="B34" s="112" t="s">
        <v>849</v>
      </c>
      <c r="C34" s="98">
        <v>1</v>
      </c>
      <c r="D34" s="98"/>
      <c r="E34" s="98"/>
      <c r="F34" s="98"/>
      <c r="G34" s="98" t="str">
        <f>VLOOKUP(B34,ATEC_Questions_Group,2,FALSE)</f>
        <v xml:space="preserve"> Sociability</v>
      </c>
      <c r="H34">
        <f t="shared" si="0"/>
        <v>1</v>
      </c>
      <c r="S34" s="124">
        <v>30</v>
      </c>
      <c r="T34" s="29" t="s">
        <v>846</v>
      </c>
      <c r="U34" s="98" t="s">
        <v>819</v>
      </c>
    </row>
    <row r="35" spans="1:21">
      <c r="A35">
        <v>34</v>
      </c>
      <c r="B35" s="112" t="s">
        <v>850</v>
      </c>
      <c r="C35" s="98"/>
      <c r="D35" s="98">
        <v>2</v>
      </c>
      <c r="E35" s="98"/>
      <c r="F35" s="98"/>
      <c r="G35" s="98" t="str">
        <f>VLOOKUP(B35,ATEC_Questions_Group,2,FALSE)</f>
        <v xml:space="preserve"> Sociability</v>
      </c>
      <c r="H35">
        <f t="shared" si="0"/>
        <v>2</v>
      </c>
      <c r="S35" s="124">
        <v>31</v>
      </c>
      <c r="T35" s="29" t="s">
        <v>847</v>
      </c>
      <c r="U35" s="98" t="s">
        <v>819</v>
      </c>
    </row>
    <row r="36" spans="1:21">
      <c r="A36">
        <v>35</v>
      </c>
      <c r="B36" s="112" t="s">
        <v>851</v>
      </c>
      <c r="C36" s="98">
        <v>1</v>
      </c>
      <c r="D36" s="98"/>
      <c r="E36" s="98"/>
      <c r="F36" s="98"/>
      <c r="G36" s="98" t="str">
        <f>VLOOKUP(B36,ATEC_Questions_Group,2,FALSE)</f>
        <v>Sensory/Cognitive Awareness</v>
      </c>
      <c r="H36">
        <f t="shared" si="0"/>
        <v>1</v>
      </c>
      <c r="S36" s="124">
        <v>32</v>
      </c>
      <c r="T36" s="29" t="s">
        <v>848</v>
      </c>
      <c r="U36" s="98" t="s">
        <v>819</v>
      </c>
    </row>
    <row r="37" spans="1:21">
      <c r="A37">
        <v>36</v>
      </c>
      <c r="B37" s="112" t="s">
        <v>852</v>
      </c>
      <c r="C37" s="98">
        <v>1</v>
      </c>
      <c r="D37" s="98"/>
      <c r="E37" s="98"/>
      <c r="F37" s="98"/>
      <c r="G37" s="98" t="str">
        <f>VLOOKUP(B37,ATEC_Questions_Group,2,FALSE)</f>
        <v>Sensory/Cognitive Awareness</v>
      </c>
      <c r="H37">
        <f t="shared" si="0"/>
        <v>1</v>
      </c>
      <c r="S37" s="124">
        <v>33</v>
      </c>
      <c r="T37" s="29" t="s">
        <v>849</v>
      </c>
      <c r="U37" s="98" t="s">
        <v>819</v>
      </c>
    </row>
    <row r="38" spans="1:21">
      <c r="A38">
        <v>37</v>
      </c>
      <c r="B38" s="112" t="s">
        <v>853</v>
      </c>
      <c r="C38" s="98">
        <v>1</v>
      </c>
      <c r="D38" s="98"/>
      <c r="E38" s="98"/>
      <c r="F38" s="98"/>
      <c r="G38" s="98" t="str">
        <f>VLOOKUP(B38,ATEC_Questions_Group,2,FALSE)</f>
        <v>Sensory/Cognitive Awareness</v>
      </c>
      <c r="H38">
        <f t="shared" si="0"/>
        <v>1</v>
      </c>
      <c r="S38" s="124">
        <v>34</v>
      </c>
      <c r="T38" s="29" t="s">
        <v>850</v>
      </c>
      <c r="U38" s="98" t="s">
        <v>819</v>
      </c>
    </row>
    <row r="39" spans="1:21">
      <c r="A39">
        <v>38</v>
      </c>
      <c r="B39" s="112" t="s">
        <v>854</v>
      </c>
      <c r="C39" s="98"/>
      <c r="D39" s="98">
        <v>2</v>
      </c>
      <c r="E39" s="98"/>
      <c r="F39" s="98"/>
      <c r="G39" s="98" t="str">
        <f>VLOOKUP(B39,ATEC_Questions_Group,2,FALSE)</f>
        <v>Sensory/Cognitive Awareness</v>
      </c>
      <c r="H39">
        <f t="shared" si="0"/>
        <v>2</v>
      </c>
      <c r="S39" s="124"/>
      <c r="T39" s="123" t="s">
        <v>855</v>
      </c>
      <c r="U39" s="112"/>
    </row>
    <row r="40" spans="1:21">
      <c r="A40">
        <v>39</v>
      </c>
      <c r="B40" s="112" t="s">
        <v>856</v>
      </c>
      <c r="C40" s="98"/>
      <c r="D40" s="98">
        <v>2</v>
      </c>
      <c r="E40" s="98"/>
      <c r="F40" s="98"/>
      <c r="G40" s="98" t="str">
        <f>VLOOKUP(B40,ATEC_Questions_Group,2,FALSE)</f>
        <v>Sensory/Cognitive Awareness</v>
      </c>
      <c r="H40">
        <f t="shared" si="0"/>
        <v>2</v>
      </c>
      <c r="S40" s="99">
        <v>35</v>
      </c>
      <c r="T40" s="29" t="s">
        <v>851</v>
      </c>
      <c r="U40" s="98" t="s">
        <v>824</v>
      </c>
    </row>
    <row r="41" spans="1:21">
      <c r="A41">
        <v>40</v>
      </c>
      <c r="B41" s="112" t="s">
        <v>857</v>
      </c>
      <c r="C41" s="98"/>
      <c r="D41" s="98">
        <v>2</v>
      </c>
      <c r="E41" s="98"/>
      <c r="F41" s="98"/>
      <c r="G41" s="98" t="str">
        <f>VLOOKUP(B41,ATEC_Questions_Group,2,FALSE)</f>
        <v>Sensory/Cognitive Awareness</v>
      </c>
      <c r="H41">
        <f t="shared" si="0"/>
        <v>2</v>
      </c>
      <c r="S41" s="99">
        <v>36</v>
      </c>
      <c r="T41" s="29" t="s">
        <v>852</v>
      </c>
      <c r="U41" s="98" t="s">
        <v>824</v>
      </c>
    </row>
    <row r="42" spans="1:21">
      <c r="A42">
        <v>41</v>
      </c>
      <c r="B42" s="112" t="s">
        <v>858</v>
      </c>
      <c r="C42" s="98"/>
      <c r="D42" s="98"/>
      <c r="E42" s="98">
        <v>3</v>
      </c>
      <c r="F42" s="98"/>
      <c r="G42" s="98" t="str">
        <f>VLOOKUP(B42,ATEC_Questions_Group,2,FALSE)</f>
        <v>Sensory/Cognitive Awareness</v>
      </c>
      <c r="H42">
        <f t="shared" si="0"/>
        <v>3</v>
      </c>
      <c r="S42" s="99">
        <v>37</v>
      </c>
      <c r="T42" s="29" t="s">
        <v>853</v>
      </c>
      <c r="U42" s="98" t="s">
        <v>824</v>
      </c>
    </row>
    <row r="43" spans="1:21">
      <c r="A43">
        <v>42</v>
      </c>
      <c r="B43" s="112" t="s">
        <v>859</v>
      </c>
      <c r="C43" s="98"/>
      <c r="D43" s="98"/>
      <c r="E43" s="98">
        <v>3</v>
      </c>
      <c r="F43" s="98"/>
      <c r="G43" s="98" t="str">
        <f>VLOOKUP(B43,ATEC_Questions_Group,2,FALSE)</f>
        <v>Sensory/Cognitive Awareness</v>
      </c>
      <c r="H43">
        <f t="shared" si="0"/>
        <v>3</v>
      </c>
      <c r="S43" s="99">
        <v>38</v>
      </c>
      <c r="T43" s="29" t="s">
        <v>854</v>
      </c>
      <c r="U43" s="98" t="s">
        <v>824</v>
      </c>
    </row>
    <row r="44" spans="1:21">
      <c r="A44">
        <v>43</v>
      </c>
      <c r="B44" s="112" t="s">
        <v>860</v>
      </c>
      <c r="C44" s="98"/>
      <c r="D44" s="98"/>
      <c r="E44" s="98">
        <v>3</v>
      </c>
      <c r="F44" s="98"/>
      <c r="G44" s="98" t="str">
        <f>VLOOKUP(B44,ATEC_Questions_Group,2,FALSE)</f>
        <v>Sensory/Cognitive Awareness</v>
      </c>
      <c r="H44">
        <f t="shared" si="0"/>
        <v>3</v>
      </c>
      <c r="S44" s="99">
        <v>39</v>
      </c>
      <c r="T44" s="29" t="s">
        <v>856</v>
      </c>
      <c r="U44" s="98" t="s">
        <v>824</v>
      </c>
    </row>
    <row r="45" spans="1:21">
      <c r="A45">
        <v>44</v>
      </c>
      <c r="B45" s="112" t="s">
        <v>861</v>
      </c>
      <c r="C45" s="98">
        <v>1</v>
      </c>
      <c r="D45" s="98"/>
      <c r="E45" s="98"/>
      <c r="F45" s="98"/>
      <c r="G45" s="98" t="str">
        <f>VLOOKUP(B45,ATEC_Questions_Group,2,FALSE)</f>
        <v>Sensory/Cognitive Awareness</v>
      </c>
      <c r="H45">
        <f t="shared" si="0"/>
        <v>1</v>
      </c>
      <c r="S45" s="99">
        <v>40</v>
      </c>
      <c r="T45" s="29" t="s">
        <v>857</v>
      </c>
      <c r="U45" s="98" t="s">
        <v>824</v>
      </c>
    </row>
    <row r="46" spans="1:21">
      <c r="A46">
        <v>45</v>
      </c>
      <c r="B46" s="112" t="s">
        <v>862</v>
      </c>
      <c r="C46" s="98">
        <v>1</v>
      </c>
      <c r="D46" s="98"/>
      <c r="E46" s="98"/>
      <c r="F46" s="98"/>
      <c r="G46" s="98" t="str">
        <f>VLOOKUP(B46,ATEC_Questions_Group,2,FALSE)</f>
        <v>Sensory/Cognitive Awareness</v>
      </c>
      <c r="H46">
        <f t="shared" si="0"/>
        <v>1</v>
      </c>
      <c r="S46" s="99">
        <v>41</v>
      </c>
      <c r="T46" s="29" t="s">
        <v>858</v>
      </c>
      <c r="U46" s="98" t="s">
        <v>824</v>
      </c>
    </row>
    <row r="47" spans="1:21">
      <c r="A47">
        <v>46</v>
      </c>
      <c r="B47" s="112" t="s">
        <v>863</v>
      </c>
      <c r="C47" s="98"/>
      <c r="D47" s="98">
        <v>2</v>
      </c>
      <c r="E47" s="98"/>
      <c r="F47" s="98"/>
      <c r="G47" s="98" t="str">
        <f>VLOOKUP(B47,ATEC_Questions_Group,2,FALSE)</f>
        <v>Sensory/Cognitive Awareness</v>
      </c>
      <c r="H47">
        <f t="shared" si="0"/>
        <v>2</v>
      </c>
      <c r="S47" s="99">
        <v>42</v>
      </c>
      <c r="T47" s="29" t="s">
        <v>859</v>
      </c>
      <c r="U47" s="98" t="s">
        <v>824</v>
      </c>
    </row>
    <row r="48" spans="1:21">
      <c r="A48">
        <v>47</v>
      </c>
      <c r="B48" s="112" t="s">
        <v>864</v>
      </c>
      <c r="C48" s="98"/>
      <c r="D48" s="98">
        <v>2</v>
      </c>
      <c r="E48" s="98"/>
      <c r="F48" s="98"/>
      <c r="G48" s="98" t="str">
        <f>VLOOKUP(B48,ATEC_Questions_Group,2,FALSE)</f>
        <v>Sensory/Cognitive Awareness</v>
      </c>
      <c r="H48">
        <f t="shared" si="0"/>
        <v>2</v>
      </c>
      <c r="S48" s="99">
        <v>43</v>
      </c>
      <c r="T48" s="29" t="s">
        <v>860</v>
      </c>
      <c r="U48" s="98" t="s">
        <v>824</v>
      </c>
    </row>
    <row r="49" spans="1:21">
      <c r="A49">
        <v>48</v>
      </c>
      <c r="B49" s="112" t="s">
        <v>865</v>
      </c>
      <c r="C49" s="98"/>
      <c r="D49" s="98">
        <v>2</v>
      </c>
      <c r="E49" s="98"/>
      <c r="F49" s="98"/>
      <c r="G49" s="98" t="str">
        <f>VLOOKUP(B49,ATEC_Questions_Group,2,FALSE)</f>
        <v>Sensory/Cognitive Awareness</v>
      </c>
      <c r="H49">
        <f t="shared" si="0"/>
        <v>2</v>
      </c>
      <c r="S49" s="99">
        <v>44</v>
      </c>
      <c r="T49" s="29" t="s">
        <v>861</v>
      </c>
      <c r="U49" s="98" t="s">
        <v>824</v>
      </c>
    </row>
    <row r="50" spans="1:21">
      <c r="A50">
        <v>49</v>
      </c>
      <c r="B50" s="112" t="s">
        <v>866</v>
      </c>
      <c r="C50" s="98"/>
      <c r="D50" s="98"/>
      <c r="E50" s="98">
        <v>3</v>
      </c>
      <c r="F50" s="98"/>
      <c r="G50" s="98" t="str">
        <f>VLOOKUP(B50,ATEC_Questions_Group,2,FALSE)</f>
        <v>Sensory/Cognitive Awareness</v>
      </c>
      <c r="H50">
        <f t="shared" si="0"/>
        <v>3</v>
      </c>
      <c r="S50" s="99">
        <v>45</v>
      </c>
      <c r="T50" s="29" t="s">
        <v>862</v>
      </c>
      <c r="U50" s="98" t="s">
        <v>824</v>
      </c>
    </row>
    <row r="51" spans="1:21">
      <c r="A51">
        <v>50</v>
      </c>
      <c r="B51" s="112" t="s">
        <v>867</v>
      </c>
      <c r="C51" s="98"/>
      <c r="D51" s="98"/>
      <c r="E51" s="98">
        <v>3</v>
      </c>
      <c r="F51" s="98"/>
      <c r="G51" s="98" t="str">
        <f>VLOOKUP(B51,ATEC_Questions_Group,2,FALSE)</f>
        <v>Sensory/Cognitive Awareness</v>
      </c>
      <c r="H51">
        <f t="shared" si="0"/>
        <v>3</v>
      </c>
      <c r="S51" s="99">
        <v>46</v>
      </c>
      <c r="T51" s="29" t="s">
        <v>863</v>
      </c>
      <c r="U51" s="98" t="s">
        <v>824</v>
      </c>
    </row>
    <row r="52" spans="1:21">
      <c r="A52">
        <v>51</v>
      </c>
      <c r="B52" s="112" t="s">
        <v>868</v>
      </c>
      <c r="C52" s="98"/>
      <c r="D52" s="98"/>
      <c r="E52" s="98">
        <v>3</v>
      </c>
      <c r="F52" s="98"/>
      <c r="G52" s="98" t="str">
        <f>VLOOKUP(B52,ATEC_Questions_Group,2,FALSE)</f>
        <v>Sensory/Cognitive Awareness</v>
      </c>
      <c r="H52">
        <f t="shared" si="0"/>
        <v>3</v>
      </c>
      <c r="S52" s="99">
        <v>47</v>
      </c>
      <c r="T52" s="29" t="s">
        <v>864</v>
      </c>
      <c r="U52" s="98" t="s">
        <v>824</v>
      </c>
    </row>
    <row r="53" spans="1:21">
      <c r="A53">
        <v>52</v>
      </c>
      <c r="B53" s="112" t="s">
        <v>869</v>
      </c>
      <c r="C53" s="98">
        <v>1</v>
      </c>
      <c r="D53" s="98"/>
      <c r="E53" s="98"/>
      <c r="F53" s="98"/>
      <c r="G53" s="98" t="str">
        <f>VLOOKUP(B53,ATEC_Questions_Group,2,FALSE)</f>
        <v>Sensory/Cognitive Awareness</v>
      </c>
      <c r="H53">
        <f t="shared" si="0"/>
        <v>1</v>
      </c>
      <c r="S53" s="99">
        <v>48</v>
      </c>
      <c r="T53" s="29" t="s">
        <v>865</v>
      </c>
      <c r="U53" s="98" t="s">
        <v>824</v>
      </c>
    </row>
    <row r="54" spans="1:21">
      <c r="A54">
        <v>53</v>
      </c>
      <c r="B54" s="112" t="s">
        <v>870</v>
      </c>
      <c r="C54" s="98">
        <v>1</v>
      </c>
      <c r="D54" s="98"/>
      <c r="E54" s="98"/>
      <c r="F54" s="98"/>
      <c r="G54" s="98" t="str">
        <f>VLOOKUP(B54,ATEC_Questions_Group,2,FALSE)</f>
        <v>Health/Physical/Behavior</v>
      </c>
      <c r="H54">
        <f t="shared" si="0"/>
        <v>1</v>
      </c>
      <c r="S54" s="99">
        <v>49</v>
      </c>
      <c r="T54" s="29" t="s">
        <v>866</v>
      </c>
      <c r="U54" s="98" t="s">
        <v>824</v>
      </c>
    </row>
    <row r="55" spans="1:21">
      <c r="A55">
        <v>54</v>
      </c>
      <c r="B55" s="112" t="s">
        <v>871</v>
      </c>
      <c r="C55" s="98">
        <v>1</v>
      </c>
      <c r="D55" s="98"/>
      <c r="E55" s="98"/>
      <c r="F55" s="98"/>
      <c r="G55" s="98" t="str">
        <f>VLOOKUP(B55,ATEC_Questions_Group,2,FALSE)</f>
        <v>Health/Physical/Behavior</v>
      </c>
      <c r="H55">
        <f t="shared" si="0"/>
        <v>1</v>
      </c>
      <c r="S55" s="99">
        <v>50</v>
      </c>
      <c r="T55" s="29" t="s">
        <v>867</v>
      </c>
      <c r="U55" s="98" t="s">
        <v>824</v>
      </c>
    </row>
    <row r="56" spans="1:21">
      <c r="A56">
        <v>55</v>
      </c>
      <c r="B56" s="112" t="s">
        <v>872</v>
      </c>
      <c r="C56" s="98">
        <v>1</v>
      </c>
      <c r="D56" s="98"/>
      <c r="E56" s="98"/>
      <c r="F56" s="98"/>
      <c r="G56" s="98" t="str">
        <f>VLOOKUP(B56,ATEC_Questions_Group,2,FALSE)</f>
        <v>Health/Physical/Behavior</v>
      </c>
      <c r="H56">
        <f t="shared" si="0"/>
        <v>1</v>
      </c>
      <c r="S56" s="99">
        <v>51</v>
      </c>
      <c r="T56" s="29" t="s">
        <v>868</v>
      </c>
      <c r="U56" s="98" t="s">
        <v>824</v>
      </c>
    </row>
    <row r="57" spans="1:21">
      <c r="A57">
        <v>56</v>
      </c>
      <c r="B57" s="112" t="s">
        <v>873</v>
      </c>
      <c r="C57" s="98">
        <v>1</v>
      </c>
      <c r="D57" s="98"/>
      <c r="E57" s="98"/>
      <c r="F57" s="98"/>
      <c r="G57" s="98" t="str">
        <f>VLOOKUP(B57,ATEC_Questions_Group,2,FALSE)</f>
        <v>Health/Physical/Behavior</v>
      </c>
      <c r="H57">
        <f t="shared" si="0"/>
        <v>1</v>
      </c>
      <c r="S57" s="99">
        <v>52</v>
      </c>
      <c r="T57" s="29" t="s">
        <v>869</v>
      </c>
      <c r="U57" s="98" t="s">
        <v>824</v>
      </c>
    </row>
    <row r="58" spans="1:21">
      <c r="A58">
        <v>57</v>
      </c>
      <c r="B58" s="112" t="s">
        <v>874</v>
      </c>
      <c r="C58" s="98"/>
      <c r="D58" s="98">
        <v>2</v>
      </c>
      <c r="E58" s="98"/>
      <c r="F58" s="98"/>
      <c r="G58" s="98" t="str">
        <f>VLOOKUP(B58,ATEC_Questions_Group,2,FALSE)</f>
        <v>Health/Physical/Behavior</v>
      </c>
      <c r="H58">
        <f t="shared" si="0"/>
        <v>2</v>
      </c>
      <c r="S58" s="124"/>
      <c r="T58" s="126" t="s">
        <v>875</v>
      </c>
      <c r="U58" s="112"/>
    </row>
    <row r="59" spans="1:21">
      <c r="A59">
        <v>58</v>
      </c>
      <c r="B59" s="112" t="s">
        <v>876</v>
      </c>
      <c r="C59" s="98"/>
      <c r="D59" s="98">
        <v>2</v>
      </c>
      <c r="E59" s="98"/>
      <c r="F59" s="98"/>
      <c r="G59" s="98" t="str">
        <f>VLOOKUP(B59,ATEC_Questions_Group,2,FALSE)</f>
        <v>Health/Physical/Behavior</v>
      </c>
      <c r="H59">
        <f t="shared" si="0"/>
        <v>2</v>
      </c>
      <c r="S59" s="125">
        <v>53</v>
      </c>
      <c r="T59" s="112" t="s">
        <v>870</v>
      </c>
      <c r="U59" s="104" t="s">
        <v>822</v>
      </c>
    </row>
    <row r="60" spans="1:21">
      <c r="A60">
        <v>59</v>
      </c>
      <c r="B60" s="112" t="s">
        <v>877</v>
      </c>
      <c r="C60" s="98"/>
      <c r="D60" s="98">
        <v>2</v>
      </c>
      <c r="E60" s="98"/>
      <c r="F60" s="98"/>
      <c r="G60" s="98" t="str">
        <f>VLOOKUP(B60,ATEC_Questions_Group,2,FALSE)</f>
        <v>Health/Physical/Behavior</v>
      </c>
      <c r="H60">
        <f t="shared" si="0"/>
        <v>2</v>
      </c>
      <c r="S60" s="125">
        <v>54</v>
      </c>
      <c r="T60" s="112" t="s">
        <v>871</v>
      </c>
      <c r="U60" s="104" t="s">
        <v>822</v>
      </c>
    </row>
    <row r="61" spans="1:21">
      <c r="A61">
        <v>60</v>
      </c>
      <c r="B61" s="112" t="s">
        <v>878</v>
      </c>
      <c r="C61" s="98"/>
      <c r="D61" s="98">
        <v>2</v>
      </c>
      <c r="E61" s="98"/>
      <c r="F61" s="98"/>
      <c r="G61" s="98" t="str">
        <f>VLOOKUP(B61,ATEC_Questions_Group,2,FALSE)</f>
        <v>Health/Physical/Behavior</v>
      </c>
      <c r="H61">
        <f t="shared" si="0"/>
        <v>2</v>
      </c>
      <c r="S61" s="125">
        <v>55</v>
      </c>
      <c r="T61" s="112" t="s">
        <v>872</v>
      </c>
      <c r="U61" s="104" t="s">
        <v>822</v>
      </c>
    </row>
    <row r="62" spans="1:21">
      <c r="A62">
        <v>61</v>
      </c>
      <c r="B62" s="112" t="s">
        <v>879</v>
      </c>
      <c r="C62" s="98"/>
      <c r="D62" s="98"/>
      <c r="E62" s="98">
        <v>3</v>
      </c>
      <c r="F62" s="98"/>
      <c r="G62" s="98" t="str">
        <f>VLOOKUP(B62,ATEC_Questions_Group,2,FALSE)</f>
        <v>Health/Physical/Behavior</v>
      </c>
      <c r="H62">
        <f t="shared" si="0"/>
        <v>3</v>
      </c>
      <c r="S62" s="125">
        <v>56</v>
      </c>
      <c r="T62" s="112" t="s">
        <v>873</v>
      </c>
      <c r="U62" s="104" t="s">
        <v>822</v>
      </c>
    </row>
    <row r="63" spans="1:21">
      <c r="A63">
        <v>62</v>
      </c>
      <c r="B63" s="112" t="s">
        <v>880</v>
      </c>
      <c r="C63" s="98"/>
      <c r="D63" s="98"/>
      <c r="E63" s="98">
        <v>3</v>
      </c>
      <c r="F63" s="98"/>
      <c r="G63" s="98" t="str">
        <f>VLOOKUP(B63,ATEC_Questions_Group,2,FALSE)</f>
        <v>Health/Physical/Behavior</v>
      </c>
      <c r="H63">
        <f t="shared" si="0"/>
        <v>3</v>
      </c>
      <c r="S63" s="125">
        <v>57</v>
      </c>
      <c r="T63" s="112" t="s">
        <v>874</v>
      </c>
      <c r="U63" s="104" t="s">
        <v>822</v>
      </c>
    </row>
    <row r="64" spans="1:21">
      <c r="A64">
        <v>63</v>
      </c>
      <c r="B64" s="112" t="s">
        <v>881</v>
      </c>
      <c r="C64" s="98"/>
      <c r="D64" s="98"/>
      <c r="E64" s="98">
        <v>3</v>
      </c>
      <c r="F64" s="98"/>
      <c r="G64" s="98" t="str">
        <f>VLOOKUP(B64,ATEC_Questions_Group,2,FALSE)</f>
        <v>Health/Physical/Behavior</v>
      </c>
      <c r="H64">
        <f t="shared" si="0"/>
        <v>3</v>
      </c>
      <c r="S64" s="125">
        <v>58</v>
      </c>
      <c r="T64" s="112" t="s">
        <v>876</v>
      </c>
      <c r="U64" s="104" t="s">
        <v>822</v>
      </c>
    </row>
    <row r="65" spans="1:21">
      <c r="A65">
        <v>64</v>
      </c>
      <c r="B65" s="112" t="s">
        <v>882</v>
      </c>
      <c r="C65" s="98"/>
      <c r="D65" s="98"/>
      <c r="E65" s="98">
        <v>3</v>
      </c>
      <c r="F65" s="98"/>
      <c r="G65" s="98" t="str">
        <f>VLOOKUP(B65,ATEC_Questions_Group,2,FALSE)</f>
        <v>Health/Physical/Behavior</v>
      </c>
      <c r="H65">
        <f t="shared" si="0"/>
        <v>3</v>
      </c>
      <c r="S65" s="125">
        <v>59</v>
      </c>
      <c r="T65" s="112" t="s">
        <v>877</v>
      </c>
      <c r="U65" s="104" t="s">
        <v>822</v>
      </c>
    </row>
    <row r="66" spans="1:21">
      <c r="A66">
        <v>65</v>
      </c>
      <c r="B66" s="112" t="s">
        <v>883</v>
      </c>
      <c r="C66" s="98"/>
      <c r="D66" s="98"/>
      <c r="E66" s="98"/>
      <c r="F66" s="98">
        <v>4</v>
      </c>
      <c r="G66" s="98" t="str">
        <f>VLOOKUP(B66,ATEC_Questions_Group,2,FALSE)</f>
        <v>Health/Physical/Behavior</v>
      </c>
      <c r="H66">
        <f t="shared" si="0"/>
        <v>4</v>
      </c>
      <c r="S66" s="125">
        <v>60</v>
      </c>
      <c r="T66" s="112" t="s">
        <v>878</v>
      </c>
      <c r="U66" s="104" t="s">
        <v>822</v>
      </c>
    </row>
    <row r="67" spans="1:21">
      <c r="A67">
        <v>66</v>
      </c>
      <c r="B67" s="112" t="s">
        <v>884</v>
      </c>
      <c r="C67" s="98"/>
      <c r="D67" s="98"/>
      <c r="E67" s="98"/>
      <c r="F67" s="98">
        <v>4</v>
      </c>
      <c r="G67" s="98" t="str">
        <f>VLOOKUP(B67,ATEC_Questions_Group,2,FALSE)</f>
        <v>Health/Physical/Behavior</v>
      </c>
      <c r="H67">
        <f t="shared" ref="H67:H78" si="1">SUM(C67:F67)</f>
        <v>4</v>
      </c>
      <c r="S67" s="125">
        <v>61</v>
      </c>
      <c r="T67" s="112" t="s">
        <v>879</v>
      </c>
      <c r="U67" s="104" t="s">
        <v>822</v>
      </c>
    </row>
    <row r="68" spans="1:21">
      <c r="A68">
        <v>67</v>
      </c>
      <c r="B68" s="112" t="s">
        <v>885</v>
      </c>
      <c r="C68" s="98"/>
      <c r="D68" s="98"/>
      <c r="E68" s="98"/>
      <c r="F68" s="98">
        <v>4</v>
      </c>
      <c r="G68" s="98" t="str">
        <f>VLOOKUP(B68,ATEC_Questions_Group,2,FALSE)</f>
        <v>Health/Physical/Behavior</v>
      </c>
      <c r="H68">
        <f t="shared" si="1"/>
        <v>4</v>
      </c>
      <c r="S68" s="125">
        <v>62</v>
      </c>
      <c r="T68" s="112" t="s">
        <v>880</v>
      </c>
      <c r="U68" s="104" t="s">
        <v>822</v>
      </c>
    </row>
    <row r="69" spans="1:21">
      <c r="A69">
        <v>68</v>
      </c>
      <c r="B69" s="112" t="s">
        <v>886</v>
      </c>
      <c r="C69" s="98"/>
      <c r="D69" s="98"/>
      <c r="E69" s="98"/>
      <c r="F69" s="98">
        <v>4</v>
      </c>
      <c r="G69" s="98" t="str">
        <f>VLOOKUP(B69,ATEC_Questions_Group,2,FALSE)</f>
        <v>Health/Physical/Behavior</v>
      </c>
      <c r="H69">
        <f t="shared" si="1"/>
        <v>4</v>
      </c>
      <c r="S69" s="125">
        <v>63</v>
      </c>
      <c r="T69" s="112" t="s">
        <v>881</v>
      </c>
      <c r="U69" s="104" t="s">
        <v>822</v>
      </c>
    </row>
    <row r="70" spans="1:21">
      <c r="A70">
        <v>69</v>
      </c>
      <c r="B70" s="112" t="s">
        <v>887</v>
      </c>
      <c r="C70" s="98"/>
      <c r="D70" s="98"/>
      <c r="E70" s="98"/>
      <c r="F70" s="98">
        <v>4</v>
      </c>
      <c r="G70" s="98" t="str">
        <f>VLOOKUP(B70,ATEC_Questions_Group,2,FALSE)</f>
        <v>Health/Physical/Behavior</v>
      </c>
      <c r="H70">
        <f t="shared" si="1"/>
        <v>4</v>
      </c>
      <c r="S70" s="125">
        <v>64</v>
      </c>
      <c r="T70" s="112" t="s">
        <v>882</v>
      </c>
      <c r="U70" s="104" t="s">
        <v>822</v>
      </c>
    </row>
    <row r="71" spans="1:21">
      <c r="A71">
        <v>70</v>
      </c>
      <c r="B71" s="112" t="s">
        <v>888</v>
      </c>
      <c r="C71" s="98"/>
      <c r="D71" s="98"/>
      <c r="E71" s="98"/>
      <c r="F71" s="98">
        <v>4</v>
      </c>
      <c r="G71" s="98" t="str">
        <f>VLOOKUP(B71,ATEC_Questions_Group,2,FALSE)</f>
        <v>Health/Physical/Behavior</v>
      </c>
      <c r="H71">
        <f t="shared" si="1"/>
        <v>4</v>
      </c>
      <c r="S71" s="125">
        <v>65</v>
      </c>
      <c r="T71" s="112" t="s">
        <v>883</v>
      </c>
      <c r="U71" s="104" t="s">
        <v>822</v>
      </c>
    </row>
    <row r="72" spans="1:21">
      <c r="A72">
        <v>71</v>
      </c>
      <c r="B72" s="112" t="s">
        <v>889</v>
      </c>
      <c r="C72" s="98">
        <v>1</v>
      </c>
      <c r="D72" s="98"/>
      <c r="E72" s="98"/>
      <c r="F72" s="98"/>
      <c r="G72" s="98" t="str">
        <f>VLOOKUP(B72,ATEC_Questions_Group,2,FALSE)</f>
        <v>Health/Physical/Behavior</v>
      </c>
      <c r="H72">
        <f t="shared" si="1"/>
        <v>1</v>
      </c>
      <c r="S72" s="125">
        <v>66</v>
      </c>
      <c r="T72" s="112" t="s">
        <v>884</v>
      </c>
      <c r="U72" s="104" t="s">
        <v>822</v>
      </c>
    </row>
    <row r="73" spans="1:21">
      <c r="A73">
        <v>72</v>
      </c>
      <c r="B73" s="112" t="s">
        <v>890</v>
      </c>
      <c r="C73" s="98"/>
      <c r="D73" s="98">
        <v>2</v>
      </c>
      <c r="E73" s="98"/>
      <c r="F73" s="98"/>
      <c r="G73" s="98" t="str">
        <f>VLOOKUP(B73,ATEC_Questions_Group,2,FALSE)</f>
        <v>Health/Physical/Behavior</v>
      </c>
      <c r="H73">
        <f t="shared" si="1"/>
        <v>2</v>
      </c>
      <c r="S73" s="125">
        <v>67</v>
      </c>
      <c r="T73" s="112" t="s">
        <v>885</v>
      </c>
      <c r="U73" s="104" t="s">
        <v>822</v>
      </c>
    </row>
    <row r="74" spans="1:21">
      <c r="A74">
        <v>73</v>
      </c>
      <c r="B74" s="112" t="s">
        <v>891</v>
      </c>
      <c r="C74" s="98"/>
      <c r="D74" s="98"/>
      <c r="E74" s="98">
        <v>3</v>
      </c>
      <c r="F74" s="98"/>
      <c r="G74" s="98" t="str">
        <f>VLOOKUP(B74,ATEC_Questions_Group,2,FALSE)</f>
        <v>Health/Physical/Behavior</v>
      </c>
      <c r="H74">
        <f t="shared" si="1"/>
        <v>3</v>
      </c>
      <c r="S74" s="125">
        <v>68</v>
      </c>
      <c r="T74" s="112" t="s">
        <v>886</v>
      </c>
      <c r="U74" s="104" t="s">
        <v>822</v>
      </c>
    </row>
    <row r="75" spans="1:21">
      <c r="A75">
        <v>74</v>
      </c>
      <c r="B75" s="112" t="s">
        <v>892</v>
      </c>
      <c r="C75" s="98"/>
      <c r="D75" s="98"/>
      <c r="E75" s="98"/>
      <c r="F75" s="98">
        <v>4</v>
      </c>
      <c r="G75" s="98" t="str">
        <f>VLOOKUP(B75,ATEC_Questions_Group,2,FALSE)</f>
        <v>Health/Physical/Behavior</v>
      </c>
      <c r="H75">
        <f t="shared" si="1"/>
        <v>4</v>
      </c>
      <c r="S75" s="125">
        <v>69</v>
      </c>
      <c r="T75" s="112" t="s">
        <v>887</v>
      </c>
      <c r="U75" s="104" t="s">
        <v>822</v>
      </c>
    </row>
    <row r="76" spans="1:21">
      <c r="A76">
        <v>75</v>
      </c>
      <c r="B76" s="112" t="s">
        <v>893</v>
      </c>
      <c r="C76" s="98"/>
      <c r="D76" s="98"/>
      <c r="E76" s="98"/>
      <c r="F76" s="98">
        <v>4</v>
      </c>
      <c r="G76" s="98" t="str">
        <f>VLOOKUP(B76,ATEC_Questions_Group,2,FALSE)</f>
        <v>Health/Physical/Behavior</v>
      </c>
      <c r="H76">
        <f t="shared" si="1"/>
        <v>4</v>
      </c>
      <c r="S76" s="125">
        <v>70</v>
      </c>
      <c r="T76" s="112" t="s">
        <v>888</v>
      </c>
      <c r="U76" s="104" t="s">
        <v>822</v>
      </c>
    </row>
    <row r="77" spans="1:21" ht="30.75">
      <c r="A77">
        <v>76</v>
      </c>
      <c r="B77" s="112" t="s">
        <v>894</v>
      </c>
      <c r="C77" s="98"/>
      <c r="D77" s="98"/>
      <c r="E77" s="98"/>
      <c r="F77" s="98">
        <v>4</v>
      </c>
      <c r="G77" s="98" t="str">
        <f>VLOOKUP(B77,ATEC_Questions_Group,2,FALSE)</f>
        <v>Health/Physical/Behavior</v>
      </c>
      <c r="H77">
        <f t="shared" si="1"/>
        <v>4</v>
      </c>
      <c r="S77" s="125">
        <v>71</v>
      </c>
      <c r="T77" s="112" t="s">
        <v>889</v>
      </c>
      <c r="U77" s="104" t="s">
        <v>822</v>
      </c>
    </row>
    <row r="78" spans="1:21" ht="30.75">
      <c r="A78">
        <v>77</v>
      </c>
      <c r="B78" s="112" t="s">
        <v>895</v>
      </c>
      <c r="C78" s="98"/>
      <c r="D78" s="98"/>
      <c r="E78" s="98"/>
      <c r="F78" s="98">
        <v>4</v>
      </c>
      <c r="G78" s="98" t="str">
        <f>VLOOKUP(B78,ATEC_Questions_Group,2,FALSE)</f>
        <v>Health/Physical/Behavior</v>
      </c>
      <c r="H78">
        <f t="shared" si="1"/>
        <v>4</v>
      </c>
      <c r="S78" s="125">
        <v>72</v>
      </c>
      <c r="T78" s="112" t="s">
        <v>890</v>
      </c>
      <c r="U78" s="104" t="s">
        <v>822</v>
      </c>
    </row>
    <row r="79" spans="1:21">
      <c r="S79" s="125">
        <v>73</v>
      </c>
      <c r="T79" s="112" t="s">
        <v>891</v>
      </c>
      <c r="U79" s="104" t="s">
        <v>822</v>
      </c>
    </row>
    <row r="80" spans="1:21">
      <c r="S80" s="125">
        <v>74</v>
      </c>
      <c r="T80" s="112" t="s">
        <v>892</v>
      </c>
      <c r="U80" s="104" t="s">
        <v>822</v>
      </c>
    </row>
    <row r="81" spans="19:21">
      <c r="S81" s="125">
        <v>75</v>
      </c>
      <c r="T81" s="112" t="s">
        <v>893</v>
      </c>
      <c r="U81" s="104" t="s">
        <v>822</v>
      </c>
    </row>
    <row r="82" spans="19:21" ht="30.75">
      <c r="S82" s="125">
        <v>76</v>
      </c>
      <c r="T82" s="112" t="s">
        <v>894</v>
      </c>
      <c r="U82" s="104" t="s">
        <v>822</v>
      </c>
    </row>
    <row r="83" spans="19:21" ht="30.75">
      <c r="S83" s="125">
        <v>77</v>
      </c>
      <c r="T83" s="112" t="s">
        <v>895</v>
      </c>
      <c r="U83" s="104" t="s">
        <v>822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7C007-818F-4587-AF57-38A64B1EA5EC}">
  <dimension ref="A1:B24"/>
  <sheetViews>
    <sheetView workbookViewId="0">
      <selection activeCell="H21" sqref="H21"/>
    </sheetView>
  </sheetViews>
  <sheetFormatPr defaultRowHeight="15"/>
  <cols>
    <col min="1" max="1" width="9.140625" style="23"/>
    <col min="2" max="2" width="33.7109375" customWidth="1"/>
  </cols>
  <sheetData>
    <row r="1" spans="1:2">
      <c r="A1" s="146" t="s">
        <v>80</v>
      </c>
      <c r="B1" s="138" t="s">
        <v>896</v>
      </c>
    </row>
    <row r="2" spans="1:2">
      <c r="A2" s="290" t="s">
        <v>897</v>
      </c>
      <c r="B2" s="292"/>
    </row>
    <row r="3" spans="1:2">
      <c r="A3" s="99">
        <v>1</v>
      </c>
      <c r="B3" s="98" t="s">
        <v>898</v>
      </c>
    </row>
    <row r="4" spans="1:2">
      <c r="A4" s="99">
        <v>2</v>
      </c>
      <c r="B4" s="98" t="s">
        <v>899</v>
      </c>
    </row>
    <row r="5" spans="1:2">
      <c r="A5" s="99">
        <v>3</v>
      </c>
      <c r="B5" s="98" t="s">
        <v>900</v>
      </c>
    </row>
    <row r="6" spans="1:2" ht="30.75">
      <c r="A6" s="99">
        <v>4</v>
      </c>
      <c r="B6" s="112" t="s">
        <v>901</v>
      </c>
    </row>
    <row r="7" spans="1:2">
      <c r="A7" s="99">
        <v>5</v>
      </c>
      <c r="B7" s="98" t="s">
        <v>902</v>
      </c>
    </row>
    <row r="8" spans="1:2">
      <c r="A8" s="99">
        <v>6</v>
      </c>
      <c r="B8" s="98" t="s">
        <v>903</v>
      </c>
    </row>
    <row r="9" spans="1:2">
      <c r="A9" s="99">
        <v>7</v>
      </c>
      <c r="B9" s="98" t="s">
        <v>904</v>
      </c>
    </row>
    <row r="10" spans="1:2">
      <c r="A10" s="99">
        <v>8</v>
      </c>
      <c r="B10" s="111" t="s">
        <v>905</v>
      </c>
    </row>
    <row r="11" spans="1:2">
      <c r="A11" s="125">
        <v>9</v>
      </c>
      <c r="B11" s="98" t="s">
        <v>906</v>
      </c>
    </row>
    <row r="12" spans="1:2">
      <c r="A12" s="99">
        <v>10</v>
      </c>
      <c r="B12" s="98" t="s">
        <v>907</v>
      </c>
    </row>
    <row r="13" spans="1:2">
      <c r="A13" s="125">
        <v>11</v>
      </c>
      <c r="B13" s="98" t="s">
        <v>908</v>
      </c>
    </row>
    <row r="14" spans="1:2">
      <c r="A14" s="290" t="s">
        <v>909</v>
      </c>
      <c r="B14" s="291"/>
    </row>
    <row r="15" spans="1:2">
      <c r="A15" s="99">
        <v>1</v>
      </c>
      <c r="B15" s="98" t="s">
        <v>910</v>
      </c>
    </row>
    <row r="16" spans="1:2">
      <c r="A16" s="99">
        <v>2</v>
      </c>
      <c r="B16" s="98" t="s">
        <v>911</v>
      </c>
    </row>
    <row r="17" spans="1:2">
      <c r="A17" s="99">
        <v>3</v>
      </c>
      <c r="B17" s="98" t="s">
        <v>912</v>
      </c>
    </row>
    <row r="18" spans="1:2">
      <c r="A18" s="99">
        <v>4</v>
      </c>
      <c r="B18" s="98" t="s">
        <v>913</v>
      </c>
    </row>
    <row r="19" spans="1:2">
      <c r="A19" s="99">
        <v>5</v>
      </c>
      <c r="B19" s="98" t="s">
        <v>914</v>
      </c>
    </row>
    <row r="20" spans="1:2">
      <c r="A20" s="99">
        <v>6</v>
      </c>
      <c r="B20" s="98" t="s">
        <v>908</v>
      </c>
    </row>
    <row r="21" spans="1:2">
      <c r="A21" s="99">
        <v>7</v>
      </c>
      <c r="B21" s="98" t="s">
        <v>907</v>
      </c>
    </row>
    <row r="22" spans="1:2" ht="30.75">
      <c r="A22" s="120">
        <v>8</v>
      </c>
      <c r="B22" s="119" t="s">
        <v>915</v>
      </c>
    </row>
    <row r="23" spans="1:2">
      <c r="A23" s="99">
        <v>9</v>
      </c>
      <c r="B23" s="98" t="s">
        <v>916</v>
      </c>
    </row>
    <row r="24" spans="1:2">
      <c r="A24" s="120">
        <v>10</v>
      </c>
      <c r="B24" s="98" t="s">
        <v>917</v>
      </c>
    </row>
  </sheetData>
  <mergeCells count="2">
    <mergeCell ref="A14:B14"/>
    <mergeCell ref="A2:B2"/>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771BE-D14D-41E9-B709-1769A6094290}">
  <dimension ref="A1:Q170"/>
  <sheetViews>
    <sheetView topLeftCell="L7" workbookViewId="0">
      <selection activeCell="N22" sqref="N22:O25"/>
    </sheetView>
  </sheetViews>
  <sheetFormatPr defaultRowHeight="15"/>
  <cols>
    <col min="1" max="2" width="36.5703125" bestFit="1" customWidth="1"/>
    <col min="3" max="3" width="24.42578125" customWidth="1"/>
    <col min="4" max="4" width="18.7109375" customWidth="1"/>
    <col min="5" max="7" width="21.42578125" customWidth="1"/>
    <col min="12" max="12" width="38.42578125" bestFit="1" customWidth="1"/>
    <col min="13" max="13" width="11.7109375" bestFit="1" customWidth="1"/>
    <col min="14" max="14" width="38.42578125" bestFit="1" customWidth="1"/>
    <col min="15" max="15" width="11.7109375" bestFit="1" customWidth="1"/>
    <col min="16" max="16" width="11.85546875" customWidth="1"/>
    <col min="17" max="17" width="11.140625" customWidth="1"/>
    <col min="18" max="18" width="7.42578125" bestFit="1" customWidth="1"/>
    <col min="19" max="19" width="11.7109375" bestFit="1" customWidth="1"/>
    <col min="20" max="20" width="9.28515625" bestFit="1" customWidth="1"/>
    <col min="21" max="22" width="12.42578125" bestFit="1" customWidth="1"/>
    <col min="23" max="23" width="11.7109375" bestFit="1" customWidth="1"/>
    <col min="24" max="24" width="12.42578125" bestFit="1" customWidth="1"/>
    <col min="25" max="25" width="7.28515625" bestFit="1" customWidth="1"/>
    <col min="26" max="26" width="9.28515625" bestFit="1" customWidth="1"/>
    <col min="27" max="27" width="7.28515625" bestFit="1" customWidth="1"/>
    <col min="28" max="28" width="9.28515625" bestFit="1" customWidth="1"/>
    <col min="29" max="31" width="12.42578125" bestFit="1" customWidth="1"/>
    <col min="32" max="32" width="11.7109375" bestFit="1" customWidth="1"/>
  </cols>
  <sheetData>
    <row r="1" spans="1:17" ht="36">
      <c r="A1" s="191" t="s">
        <v>918</v>
      </c>
      <c r="B1" s="29"/>
    </row>
    <row r="2" spans="1:17" ht="76.5">
      <c r="A2" s="123" t="s">
        <v>81</v>
      </c>
      <c r="B2" s="121" t="s">
        <v>808</v>
      </c>
      <c r="C2" s="121" t="s">
        <v>919</v>
      </c>
      <c r="D2" s="121" t="s">
        <v>920</v>
      </c>
      <c r="E2" s="144" t="s">
        <v>921</v>
      </c>
      <c r="F2" s="121" t="s">
        <v>678</v>
      </c>
      <c r="G2" s="121" t="s">
        <v>237</v>
      </c>
      <c r="H2" s="137" t="s">
        <v>922</v>
      </c>
    </row>
    <row r="3" spans="1:17" ht="30.75">
      <c r="A3" s="112" t="s">
        <v>923</v>
      </c>
      <c r="B3" s="119" t="s">
        <v>924</v>
      </c>
      <c r="C3" s="98"/>
      <c r="D3" s="98">
        <v>1</v>
      </c>
      <c r="E3" s="115"/>
      <c r="F3" s="98"/>
      <c r="G3" s="98"/>
      <c r="H3" s="98">
        <f>SUM(C3:G3)</f>
        <v>1</v>
      </c>
    </row>
    <row r="4" spans="1:17">
      <c r="A4" s="112" t="s">
        <v>925</v>
      </c>
      <c r="B4" s="119" t="s">
        <v>924</v>
      </c>
      <c r="C4" s="98"/>
      <c r="D4" s="98">
        <v>1</v>
      </c>
      <c r="E4" s="115"/>
      <c r="F4" s="98"/>
      <c r="G4" s="98"/>
      <c r="H4" s="98">
        <f t="shared" ref="H4:H24" si="0">SUM(C4:G4)</f>
        <v>1</v>
      </c>
    </row>
    <row r="5" spans="1:17">
      <c r="A5" s="112" t="s">
        <v>926</v>
      </c>
      <c r="B5" s="119" t="s">
        <v>924</v>
      </c>
      <c r="C5" s="98"/>
      <c r="D5" s="98">
        <v>1</v>
      </c>
      <c r="E5" s="115"/>
      <c r="F5" s="98"/>
      <c r="G5" s="98"/>
      <c r="H5" s="98">
        <f t="shared" si="0"/>
        <v>1</v>
      </c>
    </row>
    <row r="6" spans="1:17" ht="30.75">
      <c r="A6" s="112" t="s">
        <v>927</v>
      </c>
      <c r="B6" s="119" t="s">
        <v>924</v>
      </c>
      <c r="C6" s="98"/>
      <c r="D6" s="98">
        <v>1</v>
      </c>
      <c r="E6" s="115"/>
      <c r="F6" s="98"/>
      <c r="G6" s="98"/>
      <c r="H6" s="98">
        <f t="shared" si="0"/>
        <v>1</v>
      </c>
    </row>
    <row r="7" spans="1:17" ht="30.75">
      <c r="A7" s="112" t="s">
        <v>928</v>
      </c>
      <c r="B7" s="119" t="s">
        <v>924</v>
      </c>
      <c r="C7" s="98"/>
      <c r="D7" s="98">
        <v>1</v>
      </c>
      <c r="E7" s="115"/>
      <c r="F7" s="98"/>
      <c r="G7" s="98"/>
      <c r="H7" s="98">
        <f t="shared" si="0"/>
        <v>1</v>
      </c>
    </row>
    <row r="8" spans="1:17">
      <c r="A8" s="112" t="s">
        <v>929</v>
      </c>
      <c r="B8" s="119" t="s">
        <v>924</v>
      </c>
      <c r="C8" s="98"/>
      <c r="D8" s="98">
        <v>1</v>
      </c>
      <c r="E8" s="115"/>
      <c r="F8" s="98"/>
      <c r="G8" s="98"/>
      <c r="H8" s="98">
        <f t="shared" si="0"/>
        <v>1</v>
      </c>
    </row>
    <row r="9" spans="1:17">
      <c r="A9" s="112" t="s">
        <v>930</v>
      </c>
      <c r="B9" s="119" t="s">
        <v>924</v>
      </c>
      <c r="C9" s="98"/>
      <c r="D9" s="98"/>
      <c r="E9" s="115">
        <v>2</v>
      </c>
      <c r="F9" s="98"/>
      <c r="G9" s="98"/>
      <c r="H9" s="98">
        <f t="shared" si="0"/>
        <v>2</v>
      </c>
      <c r="N9" s="97" t="s">
        <v>808</v>
      </c>
      <c r="O9" s="98" t="s">
        <v>931</v>
      </c>
      <c r="P9" s="98"/>
    </row>
    <row r="10" spans="1:17" ht="27.75" customHeight="1">
      <c r="A10" s="112" t="s">
        <v>932</v>
      </c>
      <c r="B10" s="119" t="s">
        <v>924</v>
      </c>
      <c r="C10" s="98"/>
      <c r="D10" s="98"/>
      <c r="E10" s="115">
        <v>2</v>
      </c>
      <c r="F10" s="98"/>
      <c r="G10" s="98"/>
      <c r="H10" s="98">
        <f t="shared" si="0"/>
        <v>2</v>
      </c>
      <c r="N10" s="98" t="s">
        <v>933</v>
      </c>
      <c r="O10" s="98">
        <v>4</v>
      </c>
      <c r="P10" s="112" t="str">
        <f>IF(O10&gt;=3,"Baby Pediatric Symptom Checklist Inflexibility : Need Review","Baby Pediatric Symptom Checklist Inflexibility : Appears ok")</f>
        <v>Baby Pediatric Symptom Checklist Inflexibility : Need Review</v>
      </c>
      <c r="Q10" s="29" t="str">
        <f>IF(P11="Inflexibility: Appears okay", "Your child’s flexibility with changes or routines seems to be within typical limits. That’s a helpful strength.", "Your answers suggest your child might be having difficulty with flexibility or adapting to change. This can be common and worth keeping an eye on — we’re here to support if needed.")</f>
        <v>Your answers suggest your child might be having difficulty with flexibility or adapting to change. This can be common and worth keeping an eye on — we’re here to support if needed.</v>
      </c>
    </row>
    <row r="11" spans="1:17" ht="86.25" customHeight="1">
      <c r="A11" s="112" t="s">
        <v>934</v>
      </c>
      <c r="B11" s="119" t="s">
        <v>924</v>
      </c>
      <c r="C11" s="98"/>
      <c r="D11" s="98"/>
      <c r="E11" s="115">
        <v>2</v>
      </c>
      <c r="F11" s="98"/>
      <c r="G11" s="98"/>
      <c r="H11" s="98">
        <f t="shared" si="0"/>
        <v>2</v>
      </c>
      <c r="N11" s="98" t="s">
        <v>935</v>
      </c>
      <c r="O11" s="98">
        <v>8</v>
      </c>
      <c r="P11" s="112" t="str">
        <f>IF(O11&gt;=3,"Baby Pediatric Symptom Checklist Irritability :  Need Review","Baby Pediatric Symptom Checklist Irritability :  Appears ok")</f>
        <v>Baby Pediatric Symptom Checklist Irritability :  Need Review</v>
      </c>
      <c r="Q11" s="29" t="str">
        <f>IF(P11="Baby Pediatric Symptom Checklist Irritability :  Appears ok", "Your child’s level of irritability is within the typical range for their age. No concerns here.", "Your responses suggest your child may be showing signs of increased irritability. It could be helpful to explore what might be causing this and whether additional support is needed.")</f>
        <v>Your responses suggest your child may be showing signs of increased irritability. It could be helpful to explore what might be causing this and whether additional support is needed.</v>
      </c>
    </row>
    <row r="12" spans="1:17" ht="60.75">
      <c r="A12" s="112" t="s">
        <v>936</v>
      </c>
      <c r="B12" s="119" t="s">
        <v>924</v>
      </c>
      <c r="C12" s="98"/>
      <c r="D12" s="98"/>
      <c r="E12" s="115">
        <v>2</v>
      </c>
      <c r="F12" s="98"/>
      <c r="G12" s="98"/>
      <c r="H12" s="98">
        <f t="shared" si="0"/>
        <v>2</v>
      </c>
      <c r="N12" s="98" t="s">
        <v>937</v>
      </c>
      <c r="O12" s="98">
        <v>8</v>
      </c>
      <c r="P12" s="112" t="str">
        <f>IF(O12&gt;=3,"Baby Pediatric Symptom Checklist Routine  : Need Review","Baby Pediatric Symptom Checklist Routine : Appears ok")</f>
        <v>Baby Pediatric Symptom Checklist Routine  : Need Review</v>
      </c>
      <c r="Q12" s="29" t="str">
        <f>IF(P11="Routines: Appears okay", "Your child’s ability to manage or cope with daily routines looks to be on track for their age.", "There may be some challenges in how your child handles daily routines. This is something we can look into more closely and support as needed.")</f>
        <v>There may be some challenges in how your child handles daily routines. This is something we can look into more closely and support as needed.</v>
      </c>
    </row>
    <row r="13" spans="1:17" ht="30.75">
      <c r="A13" s="112" t="s">
        <v>938</v>
      </c>
      <c r="B13" s="109" t="s">
        <v>933</v>
      </c>
      <c r="C13" s="98">
        <v>0</v>
      </c>
      <c r="D13" s="98"/>
      <c r="E13" s="115"/>
      <c r="F13" s="98"/>
      <c r="G13" s="98"/>
      <c r="H13" s="98">
        <f t="shared" si="0"/>
        <v>0</v>
      </c>
      <c r="N13" s="98" t="s">
        <v>924</v>
      </c>
      <c r="O13" s="98">
        <v>0</v>
      </c>
      <c r="P13" s="112"/>
    </row>
    <row r="14" spans="1:17" ht="30.75">
      <c r="A14" s="112" t="s">
        <v>939</v>
      </c>
      <c r="B14" s="109" t="s">
        <v>933</v>
      </c>
      <c r="C14" s="98">
        <v>0</v>
      </c>
      <c r="D14" s="98"/>
      <c r="E14" s="115"/>
      <c r="F14" s="98"/>
      <c r="G14" s="98"/>
      <c r="H14" s="98">
        <f t="shared" si="0"/>
        <v>0</v>
      </c>
      <c r="N14" s="98" t="s">
        <v>940</v>
      </c>
      <c r="O14" s="98">
        <v>2</v>
      </c>
      <c r="P14" s="112" t="str">
        <f>IF(O14&gt;=1,"Family Disorder : Yes","Family Disorder : NO")</f>
        <v>Family Disorder : Yes</v>
      </c>
    </row>
    <row r="15" spans="1:17" ht="30.75">
      <c r="A15" s="112" t="s">
        <v>941</v>
      </c>
      <c r="B15" s="109" t="s">
        <v>933</v>
      </c>
      <c r="C15" s="98">
        <v>0</v>
      </c>
      <c r="D15" s="98"/>
      <c r="E15" s="115"/>
      <c r="F15" s="98"/>
      <c r="G15" s="98"/>
      <c r="H15" s="98">
        <f t="shared" si="0"/>
        <v>0</v>
      </c>
      <c r="N15" s="98" t="s">
        <v>942</v>
      </c>
      <c r="O15" s="98">
        <v>1</v>
      </c>
      <c r="P15" s="112" t="str">
        <f>IF(O15&gt;=1,"Tobacco Consume : Yes","Tobacco Consume : No")</f>
        <v>Tobacco Consume : Yes</v>
      </c>
    </row>
    <row r="16" spans="1:17" ht="30.75">
      <c r="A16" s="112" t="s">
        <v>943</v>
      </c>
      <c r="B16" s="109" t="s">
        <v>933</v>
      </c>
      <c r="C16" s="98"/>
      <c r="D16" s="98">
        <v>1</v>
      </c>
      <c r="E16" s="115"/>
      <c r="F16" s="98"/>
      <c r="G16" s="98"/>
      <c r="H16" s="98">
        <f>SUM(C16:G16)</f>
        <v>1</v>
      </c>
      <c r="I16">
        <f>SUM(C13:G16)</f>
        <v>1</v>
      </c>
      <c r="N16" s="98" t="s">
        <v>346</v>
      </c>
      <c r="O16" s="98"/>
      <c r="P16" s="112"/>
    </row>
    <row r="17" spans="1:16">
      <c r="A17" s="112" t="s">
        <v>944</v>
      </c>
      <c r="B17" s="109" t="s">
        <v>935</v>
      </c>
      <c r="C17" s="98"/>
      <c r="D17" s="98">
        <v>1</v>
      </c>
      <c r="E17" s="115"/>
      <c r="F17" s="98"/>
      <c r="G17" s="98"/>
      <c r="H17" s="98">
        <f t="shared" si="0"/>
        <v>1</v>
      </c>
      <c r="N17" s="98" t="s">
        <v>945</v>
      </c>
      <c r="O17" s="98">
        <v>0</v>
      </c>
      <c r="P17" s="112" t="str">
        <f>IF(O17&gt;=1,"Family Insecurity : Yes","Family Insecurity : No")</f>
        <v>Family Insecurity : No</v>
      </c>
    </row>
    <row r="18" spans="1:16" ht="30.75">
      <c r="A18" s="112" t="s">
        <v>946</v>
      </c>
      <c r="B18" s="109" t="s">
        <v>935</v>
      </c>
      <c r="C18" s="98"/>
      <c r="D18" s="98">
        <v>1</v>
      </c>
      <c r="E18" s="115"/>
      <c r="F18" s="98"/>
      <c r="G18" s="98"/>
      <c r="H18" s="98">
        <f t="shared" si="0"/>
        <v>1</v>
      </c>
      <c r="N18" s="98" t="s">
        <v>947</v>
      </c>
      <c r="O18" s="98">
        <v>1</v>
      </c>
      <c r="P18" s="98" t="str">
        <f>IF(O18&gt;3,"Family Depression : Yes","Family Depression : No")</f>
        <v>Family Depression : No</v>
      </c>
    </row>
    <row r="19" spans="1:16">
      <c r="A19" s="112" t="s">
        <v>948</v>
      </c>
      <c r="B19" s="109" t="s">
        <v>935</v>
      </c>
      <c r="C19" s="98"/>
      <c r="D19" s="98">
        <v>1</v>
      </c>
      <c r="E19" s="115"/>
      <c r="F19" s="98"/>
      <c r="G19" s="98"/>
      <c r="H19" s="98">
        <f t="shared" si="0"/>
        <v>1</v>
      </c>
      <c r="N19" s="98" t="s">
        <v>949</v>
      </c>
      <c r="O19" s="98">
        <v>4</v>
      </c>
      <c r="P19" t="str">
        <f>IF(O19&gt;=1,"Family Domestic Violence : Yes","Family Domestic Violence : No")</f>
        <v>Family Domestic Violence : Yes</v>
      </c>
    </row>
    <row r="20" spans="1:16">
      <c r="A20" s="112" t="s">
        <v>950</v>
      </c>
      <c r="B20" s="109" t="s">
        <v>935</v>
      </c>
      <c r="C20" s="98"/>
      <c r="D20" s="98"/>
      <c r="E20" s="115">
        <v>2</v>
      </c>
      <c r="F20" s="98"/>
      <c r="G20" s="98"/>
      <c r="H20" s="98">
        <f t="shared" si="0"/>
        <v>2</v>
      </c>
      <c r="N20" s="98" t="s">
        <v>347</v>
      </c>
      <c r="O20" s="98">
        <v>28</v>
      </c>
      <c r="P20" s="112"/>
    </row>
    <row r="21" spans="1:16" ht="30.75">
      <c r="A21" s="141" t="s">
        <v>951</v>
      </c>
      <c r="B21" s="112" t="s">
        <v>937</v>
      </c>
      <c r="C21" s="104"/>
      <c r="D21" s="98"/>
      <c r="E21" s="115">
        <v>2</v>
      </c>
      <c r="F21" s="98"/>
      <c r="G21" s="98"/>
      <c r="H21" s="98">
        <f t="shared" si="0"/>
        <v>2</v>
      </c>
    </row>
    <row r="22" spans="1:16">
      <c r="A22" s="141" t="s">
        <v>952</v>
      </c>
      <c r="B22" s="112" t="s">
        <v>937</v>
      </c>
      <c r="C22" s="104"/>
      <c r="D22" s="98"/>
      <c r="E22" s="115">
        <v>2</v>
      </c>
      <c r="F22" s="98"/>
      <c r="G22" s="98"/>
      <c r="H22" s="98">
        <f t="shared" si="0"/>
        <v>2</v>
      </c>
      <c r="N22" s="55" t="s">
        <v>808</v>
      </c>
      <c r="O22" t="s">
        <v>953</v>
      </c>
    </row>
    <row r="23" spans="1:16" ht="30.75">
      <c r="A23" s="141" t="s">
        <v>954</v>
      </c>
      <c r="B23" s="112" t="s">
        <v>937</v>
      </c>
      <c r="C23" s="104"/>
      <c r="D23" s="98"/>
      <c r="E23" s="115">
        <v>2</v>
      </c>
      <c r="F23" s="98"/>
      <c r="G23" s="98"/>
      <c r="H23" s="98">
        <f t="shared" si="0"/>
        <v>2</v>
      </c>
      <c r="N23" t="s">
        <v>933</v>
      </c>
      <c r="O23">
        <v>4</v>
      </c>
    </row>
    <row r="24" spans="1:16" ht="30.75">
      <c r="A24" s="141" t="s">
        <v>955</v>
      </c>
      <c r="B24" s="112" t="s">
        <v>937</v>
      </c>
      <c r="C24" s="104"/>
      <c r="D24" s="98"/>
      <c r="E24" s="115">
        <v>2</v>
      </c>
      <c r="F24" s="98"/>
      <c r="G24" s="98"/>
      <c r="H24" s="98">
        <f t="shared" si="0"/>
        <v>2</v>
      </c>
      <c r="N24" t="s">
        <v>935</v>
      </c>
      <c r="O24">
        <v>8</v>
      </c>
    </row>
    <row r="25" spans="1:16" ht="30.75">
      <c r="A25" s="119" t="s">
        <v>956</v>
      </c>
      <c r="B25" s="192" t="s">
        <v>942</v>
      </c>
      <c r="C25" s="109"/>
      <c r="D25" s="109">
        <v>1</v>
      </c>
      <c r="E25" s="143"/>
      <c r="F25" s="109"/>
      <c r="G25" s="109"/>
      <c r="H25" s="109">
        <f>SUM(D25:G25)</f>
        <v>1</v>
      </c>
      <c r="N25" t="s">
        <v>937</v>
      </c>
      <c r="O25">
        <v>8</v>
      </c>
    </row>
    <row r="26" spans="1:16" ht="45.75">
      <c r="A26" s="112" t="s">
        <v>957</v>
      </c>
      <c r="B26" s="112" t="s">
        <v>940</v>
      </c>
      <c r="C26" s="98"/>
      <c r="D26" s="98">
        <v>1</v>
      </c>
      <c r="E26" s="98"/>
      <c r="F26" s="98"/>
      <c r="G26" s="98"/>
      <c r="H26" s="98">
        <f>SUM(C26:G26)</f>
        <v>1</v>
      </c>
      <c r="N26" t="s">
        <v>924</v>
      </c>
      <c r="O26">
        <v>0</v>
      </c>
    </row>
    <row r="27" spans="1:16" ht="45.75">
      <c r="A27" s="112" t="s">
        <v>958</v>
      </c>
      <c r="B27" s="112" t="s">
        <v>940</v>
      </c>
      <c r="C27" s="98"/>
      <c r="D27" s="98">
        <v>1</v>
      </c>
      <c r="E27" s="98"/>
      <c r="F27" s="98"/>
      <c r="G27" s="98"/>
      <c r="H27" s="98">
        <f t="shared" ref="H27:H28" si="1">SUM(C27:G27)</f>
        <v>1</v>
      </c>
      <c r="N27" t="s">
        <v>947</v>
      </c>
      <c r="O27">
        <v>1</v>
      </c>
    </row>
    <row r="28" spans="1:16" ht="30.75">
      <c r="A28" s="112" t="s">
        <v>959</v>
      </c>
      <c r="B28" s="112" t="s">
        <v>940</v>
      </c>
      <c r="C28" s="98">
        <v>0</v>
      </c>
      <c r="D28" s="98"/>
      <c r="E28" s="98"/>
      <c r="F28" s="98"/>
      <c r="G28" s="98"/>
      <c r="H28" s="98">
        <f t="shared" si="1"/>
        <v>0</v>
      </c>
      <c r="N28" t="s">
        <v>940</v>
      </c>
      <c r="O28">
        <v>2</v>
      </c>
    </row>
    <row r="29" spans="1:16" ht="45.75">
      <c r="A29" s="112" t="s">
        <v>960</v>
      </c>
      <c r="B29" s="112" t="s">
        <v>945</v>
      </c>
      <c r="C29" s="98"/>
      <c r="D29" s="98">
        <v>1</v>
      </c>
      <c r="E29" s="98"/>
      <c r="F29" s="98"/>
      <c r="G29" s="98"/>
      <c r="H29" s="98">
        <f>SUM(C29:G29)</f>
        <v>1</v>
      </c>
      <c r="N29" t="s">
        <v>949</v>
      </c>
      <c r="O29">
        <v>4</v>
      </c>
    </row>
    <row r="30" spans="1:16" ht="30.75">
      <c r="A30" s="112" t="s">
        <v>961</v>
      </c>
      <c r="B30" s="112" t="s">
        <v>947</v>
      </c>
      <c r="C30" s="98"/>
      <c r="D30" s="98">
        <v>1</v>
      </c>
      <c r="E30" s="98"/>
      <c r="F30" s="98"/>
      <c r="G30" s="98"/>
      <c r="H30" s="98">
        <f>SUM(C30:G30)</f>
        <v>1</v>
      </c>
      <c r="N30" t="s">
        <v>945</v>
      </c>
      <c r="O30">
        <v>0</v>
      </c>
    </row>
    <row r="31" spans="1:16">
      <c r="A31" s="112" t="s">
        <v>962</v>
      </c>
      <c r="B31" s="112" t="s">
        <v>947</v>
      </c>
      <c r="C31" s="98"/>
      <c r="D31" s="98">
        <v>1</v>
      </c>
      <c r="E31" s="98"/>
      <c r="F31" s="98"/>
      <c r="G31" s="98"/>
      <c r="H31" s="98">
        <f t="shared" ref="H31:H33" si="2">SUM(C31:G31)</f>
        <v>1</v>
      </c>
      <c r="N31" t="s">
        <v>942</v>
      </c>
      <c r="O31">
        <v>1</v>
      </c>
    </row>
    <row r="32" spans="1:16" ht="30.75">
      <c r="A32" s="112" t="s">
        <v>963</v>
      </c>
      <c r="B32" s="112" t="s">
        <v>949</v>
      </c>
      <c r="C32" s="98"/>
      <c r="D32" s="98">
        <v>1</v>
      </c>
      <c r="E32" s="98"/>
      <c r="F32" s="98"/>
      <c r="G32" s="98"/>
      <c r="H32" s="98" cm="1">
        <f t="array" ref="H32">COUNT(C32:G33&gt;0,0,1)</f>
        <v>2</v>
      </c>
      <c r="N32" t="s">
        <v>346</v>
      </c>
    </row>
    <row r="33" spans="1:15" ht="30.75">
      <c r="A33" s="112" t="s">
        <v>964</v>
      </c>
      <c r="B33" s="112" t="s">
        <v>949</v>
      </c>
      <c r="C33" s="98"/>
      <c r="D33" s="98">
        <v>1</v>
      </c>
      <c r="E33" s="98"/>
      <c r="F33" s="98"/>
      <c r="G33" s="98"/>
      <c r="H33" s="98" cm="1">
        <f t="array" ref="H33">COUNT(C33:G34&gt;0,0,1)</f>
        <v>2</v>
      </c>
      <c r="N33" t="s">
        <v>347</v>
      </c>
      <c r="O33">
        <v>28</v>
      </c>
    </row>
    <row r="34" spans="1:15">
      <c r="A34" s="29"/>
      <c r="B34" s="29"/>
    </row>
    <row r="35" spans="1:15">
      <c r="A35" s="293"/>
      <c r="B35" s="293"/>
      <c r="C35" s="293"/>
    </row>
    <row r="36" spans="1:15">
      <c r="A36" s="29"/>
      <c r="B36" s="29"/>
    </row>
    <row r="37" spans="1:15">
      <c r="A37" s="29"/>
      <c r="B37" s="29"/>
    </row>
    <row r="38" spans="1:15">
      <c r="A38" s="29"/>
      <c r="B38" s="29"/>
    </row>
    <row r="39" spans="1:15">
      <c r="A39" s="29"/>
      <c r="B39" s="29"/>
    </row>
    <row r="40" spans="1:15">
      <c r="A40" s="29"/>
      <c r="B40" s="29"/>
    </row>
    <row r="41" spans="1:15">
      <c r="A41" s="29"/>
      <c r="B41" s="29"/>
    </row>
    <row r="42" spans="1:15">
      <c r="A42" s="29"/>
      <c r="B42" s="29"/>
    </row>
    <row r="43" spans="1:15">
      <c r="A43" s="29"/>
      <c r="B43" s="29"/>
    </row>
    <row r="44" spans="1:15">
      <c r="A44" s="29"/>
      <c r="B44" s="29"/>
    </row>
    <row r="45" spans="1:15">
      <c r="A45" s="29"/>
      <c r="B45" s="29"/>
    </row>
    <row r="46" spans="1:15">
      <c r="A46" s="29"/>
      <c r="B46" s="29"/>
    </row>
    <row r="47" spans="1:15">
      <c r="A47" s="29"/>
      <c r="B47" s="29"/>
    </row>
    <row r="48" spans="1:15">
      <c r="A48" s="293"/>
      <c r="B48" s="293"/>
      <c r="C48" s="293"/>
    </row>
    <row r="49" spans="1:3">
      <c r="A49" s="29"/>
      <c r="B49" s="29"/>
    </row>
    <row r="50" spans="1:3">
      <c r="A50" s="29"/>
      <c r="B50" s="29"/>
    </row>
    <row r="51" spans="1:3">
      <c r="A51" s="29"/>
      <c r="B51" s="29"/>
    </row>
    <row r="52" spans="1:3">
      <c r="A52" s="29"/>
      <c r="B52" s="29"/>
    </row>
    <row r="53" spans="1:3">
      <c r="A53" s="29"/>
      <c r="B53" s="29"/>
    </row>
    <row r="54" spans="1:3">
      <c r="A54" s="29"/>
      <c r="B54" s="29"/>
    </row>
    <row r="55" spans="1:3">
      <c r="A55" s="29"/>
      <c r="B55" s="29"/>
    </row>
    <row r="56" spans="1:3">
      <c r="A56" s="29"/>
      <c r="B56" s="29"/>
    </row>
    <row r="57" spans="1:3">
      <c r="A57" s="29"/>
      <c r="B57" s="29"/>
    </row>
    <row r="58" spans="1:3">
      <c r="A58" s="29"/>
      <c r="B58" s="29"/>
    </row>
    <row r="59" spans="1:3">
      <c r="A59" s="29"/>
      <c r="B59" s="29"/>
    </row>
    <row r="60" spans="1:3">
      <c r="A60" s="29"/>
      <c r="B60" s="29"/>
    </row>
    <row r="61" spans="1:3">
      <c r="A61" s="293"/>
      <c r="B61" s="293"/>
      <c r="C61" s="293"/>
    </row>
    <row r="62" spans="1:3">
      <c r="A62" s="29"/>
      <c r="B62" s="29"/>
    </row>
    <row r="63" spans="1:3">
      <c r="A63" s="29"/>
      <c r="B63" s="29"/>
    </row>
    <row r="64" spans="1:3">
      <c r="A64" s="29"/>
      <c r="B64" s="29"/>
    </row>
    <row r="65" spans="1:3">
      <c r="A65" s="29"/>
      <c r="B65" s="29"/>
    </row>
    <row r="66" spans="1:3">
      <c r="A66" s="29"/>
      <c r="B66" s="29"/>
    </row>
    <row r="67" spans="1:3">
      <c r="A67" s="29"/>
      <c r="B67" s="29"/>
    </row>
    <row r="68" spans="1:3">
      <c r="A68" s="29"/>
      <c r="B68" s="29"/>
    </row>
    <row r="69" spans="1:3">
      <c r="A69" s="29"/>
      <c r="B69" s="29"/>
    </row>
    <row r="70" spans="1:3">
      <c r="A70" s="29"/>
      <c r="B70" s="29"/>
    </row>
    <row r="71" spans="1:3">
      <c r="A71" s="29"/>
      <c r="B71" s="29"/>
    </row>
    <row r="72" spans="1:3">
      <c r="A72" s="29"/>
      <c r="B72" s="29"/>
    </row>
    <row r="73" spans="1:3">
      <c r="A73" s="29"/>
      <c r="B73" s="29"/>
    </row>
    <row r="74" spans="1:3">
      <c r="A74" s="293"/>
      <c r="B74" s="293"/>
      <c r="C74" s="293"/>
    </row>
    <row r="75" spans="1:3">
      <c r="A75" s="29"/>
      <c r="B75" s="29"/>
    </row>
    <row r="76" spans="1:3">
      <c r="A76" s="29"/>
      <c r="B76" s="29"/>
    </row>
    <row r="77" spans="1:3">
      <c r="A77" s="29"/>
      <c r="B77" s="29"/>
    </row>
    <row r="78" spans="1:3">
      <c r="A78" s="29"/>
      <c r="B78" s="29"/>
    </row>
    <row r="79" spans="1:3">
      <c r="A79" s="29"/>
      <c r="B79" s="29"/>
    </row>
    <row r="80" spans="1:3">
      <c r="A80" s="29"/>
      <c r="B80" s="29"/>
    </row>
    <row r="81" spans="1:3">
      <c r="A81" s="29"/>
      <c r="B81" s="29"/>
    </row>
    <row r="82" spans="1:3">
      <c r="A82" s="29"/>
      <c r="B82" s="29"/>
    </row>
    <row r="83" spans="1:3">
      <c r="A83" s="293"/>
      <c r="B83" s="293"/>
      <c r="C83" s="293"/>
    </row>
    <row r="84" spans="1:3">
      <c r="A84" s="29"/>
      <c r="B84" s="29"/>
    </row>
    <row r="85" spans="1:3">
      <c r="A85" s="29"/>
      <c r="B85" s="29"/>
    </row>
    <row r="86" spans="1:3">
      <c r="A86" s="29"/>
      <c r="B86" s="29"/>
    </row>
    <row r="87" spans="1:3">
      <c r="A87" s="293"/>
      <c r="B87" s="293"/>
      <c r="C87" s="293"/>
    </row>
    <row r="88" spans="1:3">
      <c r="A88" s="29"/>
      <c r="B88" s="29"/>
    </row>
    <row r="89" spans="1:3">
      <c r="A89" s="29"/>
      <c r="B89" s="29"/>
    </row>
    <row r="90" spans="1:3">
      <c r="A90" s="29"/>
      <c r="B90" s="29"/>
    </row>
    <row r="91" spans="1:3">
      <c r="A91" s="29"/>
      <c r="B91" s="29"/>
    </row>
    <row r="92" spans="1:3">
      <c r="A92" s="29"/>
      <c r="B92" s="29"/>
    </row>
    <row r="93" spans="1:3">
      <c r="A93" s="29"/>
      <c r="B93" s="29"/>
    </row>
    <row r="94" spans="1:3">
      <c r="A94" s="29"/>
      <c r="B94" s="29"/>
    </row>
    <row r="95" spans="1:3">
      <c r="A95" s="29"/>
      <c r="B95" s="29"/>
    </row>
    <row r="96" spans="1:3">
      <c r="A96" s="29"/>
      <c r="B96" s="29"/>
    </row>
    <row r="97" spans="1:3">
      <c r="A97" s="293"/>
      <c r="B97" s="293"/>
      <c r="C97" s="293"/>
    </row>
    <row r="98" spans="1:3">
      <c r="A98" s="29"/>
      <c r="B98" s="29"/>
    </row>
    <row r="99" spans="1:3">
      <c r="A99" s="29"/>
      <c r="B99" s="29"/>
    </row>
    <row r="100" spans="1:3">
      <c r="A100" s="29"/>
      <c r="B100" s="29"/>
    </row>
    <row r="101" spans="1:3">
      <c r="A101" s="29"/>
      <c r="B101" s="29"/>
    </row>
    <row r="102" spans="1:3">
      <c r="A102" s="293"/>
      <c r="B102" s="293"/>
      <c r="C102" s="293"/>
    </row>
    <row r="103" spans="1:3">
      <c r="A103" s="29"/>
      <c r="B103" s="29"/>
    </row>
    <row r="104" spans="1:3">
      <c r="A104" s="29"/>
      <c r="B104" s="29"/>
    </row>
    <row r="105" spans="1:3">
      <c r="A105" s="29"/>
      <c r="B105" s="29"/>
    </row>
    <row r="106" spans="1:3">
      <c r="A106" s="29"/>
      <c r="B106" s="29"/>
    </row>
    <row r="107" spans="1:3">
      <c r="A107" s="29"/>
      <c r="B107" s="29"/>
    </row>
    <row r="108" spans="1:3">
      <c r="A108" s="29"/>
      <c r="B108" s="29"/>
    </row>
    <row r="109" spans="1:3">
      <c r="A109" s="29"/>
      <c r="B109" s="29"/>
    </row>
    <row r="110" spans="1:3">
      <c r="A110" s="29"/>
      <c r="B110" s="29"/>
    </row>
    <row r="111" spans="1:3">
      <c r="A111" s="293"/>
      <c r="B111" s="293"/>
      <c r="C111" s="293"/>
    </row>
    <row r="112" spans="1:3">
      <c r="A112" s="29"/>
      <c r="B112" s="29"/>
    </row>
    <row r="113" spans="1:3">
      <c r="A113" s="29"/>
      <c r="B113" s="29"/>
    </row>
    <row r="114" spans="1:3">
      <c r="A114" s="29"/>
      <c r="B114" s="29"/>
    </row>
    <row r="115" spans="1:3">
      <c r="A115" s="29"/>
      <c r="B115" s="29"/>
    </row>
    <row r="116" spans="1:3">
      <c r="A116" s="29"/>
      <c r="B116" s="29"/>
    </row>
    <row r="117" spans="1:3">
      <c r="A117" s="29"/>
      <c r="B117" s="29"/>
    </row>
    <row r="118" spans="1:3">
      <c r="A118" s="29"/>
      <c r="B118" s="29"/>
    </row>
    <row r="119" spans="1:3">
      <c r="A119" s="29"/>
      <c r="B119" s="29"/>
    </row>
    <row r="120" spans="1:3">
      <c r="A120" s="293"/>
      <c r="B120" s="293"/>
      <c r="C120" s="293"/>
    </row>
    <row r="121" spans="1:3">
      <c r="A121" s="29"/>
      <c r="B121" s="29"/>
    </row>
    <row r="122" spans="1:3">
      <c r="A122" s="29"/>
      <c r="B122" s="29"/>
    </row>
    <row r="123" spans="1:3">
      <c r="A123" s="29"/>
      <c r="B123" s="29"/>
    </row>
    <row r="124" spans="1:3">
      <c r="A124" s="29"/>
      <c r="B124" s="29"/>
    </row>
    <row r="125" spans="1:3">
      <c r="A125" s="29"/>
      <c r="B125" s="29"/>
    </row>
    <row r="126" spans="1:3">
      <c r="A126" s="29"/>
      <c r="B126" s="29"/>
    </row>
    <row r="127" spans="1:3">
      <c r="A127" s="29"/>
      <c r="B127" s="29"/>
    </row>
    <row r="128" spans="1:3">
      <c r="A128" s="29"/>
      <c r="B128" s="29"/>
    </row>
    <row r="129" spans="1:3">
      <c r="A129" s="29"/>
      <c r="B129" s="29"/>
    </row>
    <row r="130" spans="1:3">
      <c r="A130" s="29"/>
      <c r="B130" s="29"/>
    </row>
    <row r="131" spans="1:3">
      <c r="A131" s="29"/>
      <c r="B131" s="29"/>
    </row>
    <row r="132" spans="1:3">
      <c r="A132" s="29"/>
      <c r="B132" s="29"/>
    </row>
    <row r="133" spans="1:3">
      <c r="A133" s="293"/>
      <c r="B133" s="293"/>
      <c r="C133" s="293"/>
    </row>
    <row r="134" spans="1:3">
      <c r="A134" s="29"/>
      <c r="B134" s="29"/>
    </row>
    <row r="135" spans="1:3">
      <c r="A135" s="29"/>
      <c r="B135" s="29"/>
    </row>
    <row r="136" spans="1:3">
      <c r="A136" s="29"/>
      <c r="B136" s="29"/>
    </row>
    <row r="137" spans="1:3">
      <c r="A137" s="29"/>
      <c r="B137" s="29"/>
    </row>
    <row r="138" spans="1:3">
      <c r="A138" s="29"/>
      <c r="B138" s="29"/>
    </row>
    <row r="139" spans="1:3">
      <c r="A139" s="29"/>
      <c r="B139" s="29"/>
    </row>
    <row r="140" spans="1:3">
      <c r="A140" s="29"/>
      <c r="B140" s="29"/>
    </row>
    <row r="141" spans="1:3">
      <c r="A141" s="29"/>
      <c r="B141" s="29"/>
    </row>
    <row r="142" spans="1:3">
      <c r="A142" s="29"/>
      <c r="B142" s="29"/>
    </row>
    <row r="143" spans="1:3">
      <c r="A143" s="29"/>
      <c r="B143" s="29"/>
    </row>
    <row r="144" spans="1:3">
      <c r="A144" s="29"/>
      <c r="B144" s="29"/>
    </row>
    <row r="145" spans="1:2">
      <c r="A145" s="29"/>
      <c r="B145" s="29"/>
    </row>
    <row r="146" spans="1:2">
      <c r="A146" s="29"/>
      <c r="B146" s="29"/>
    </row>
    <row r="147" spans="1:2">
      <c r="A147" s="29"/>
      <c r="B147" s="29"/>
    </row>
    <row r="148" spans="1:2">
      <c r="A148" s="29"/>
      <c r="B148" s="29"/>
    </row>
    <row r="149" spans="1:2">
      <c r="A149" s="29"/>
      <c r="B149" s="29"/>
    </row>
    <row r="150" spans="1:2">
      <c r="A150" s="29"/>
      <c r="B150" s="29"/>
    </row>
    <row r="151" spans="1:2">
      <c r="A151" s="29"/>
      <c r="B151" s="29"/>
    </row>
    <row r="152" spans="1:2">
      <c r="A152" s="29"/>
      <c r="B152" s="29"/>
    </row>
    <row r="153" spans="1:2">
      <c r="A153" s="29"/>
      <c r="B153" s="29"/>
    </row>
    <row r="154" spans="1:2">
      <c r="A154" s="29"/>
      <c r="B154" s="29"/>
    </row>
    <row r="155" spans="1:2">
      <c r="A155" s="29"/>
      <c r="B155" s="29"/>
    </row>
    <row r="156" spans="1:2">
      <c r="A156" s="29"/>
      <c r="B156" s="29"/>
    </row>
    <row r="157" spans="1:2">
      <c r="A157" s="29"/>
      <c r="B157" s="29"/>
    </row>
    <row r="158" spans="1:2">
      <c r="A158" s="29"/>
      <c r="B158" s="29"/>
    </row>
    <row r="159" spans="1:2">
      <c r="A159" s="29"/>
      <c r="B159" s="29"/>
    </row>
    <row r="160" spans="1:2">
      <c r="A160" s="29"/>
      <c r="B160" s="29"/>
    </row>
    <row r="161" spans="1:2">
      <c r="A161" s="29"/>
      <c r="B161" s="29"/>
    </row>
    <row r="162" spans="1:2">
      <c r="A162" s="29"/>
      <c r="B162" s="29"/>
    </row>
    <row r="163" spans="1:2">
      <c r="A163" s="29"/>
      <c r="B163" s="29"/>
    </row>
    <row r="164" spans="1:2">
      <c r="A164" s="29"/>
      <c r="B164" s="29"/>
    </row>
    <row r="165" spans="1:2">
      <c r="A165" s="29"/>
      <c r="B165" s="29"/>
    </row>
    <row r="166" spans="1:2">
      <c r="A166" s="29"/>
      <c r="B166" s="29"/>
    </row>
    <row r="167" spans="1:2">
      <c r="A167" s="29"/>
      <c r="B167" s="29"/>
    </row>
    <row r="168" spans="1:2">
      <c r="A168" s="29"/>
      <c r="B168" s="29"/>
    </row>
    <row r="169" spans="1:2">
      <c r="A169" s="29"/>
      <c r="B169" s="29"/>
    </row>
    <row r="170" spans="1:2">
      <c r="A170" s="29"/>
      <c r="B170" s="29"/>
    </row>
  </sheetData>
  <mergeCells count="11">
    <mergeCell ref="A133:C133"/>
    <mergeCell ref="A35:C35"/>
    <mergeCell ref="A48:C48"/>
    <mergeCell ref="A61:C61"/>
    <mergeCell ref="A74:C74"/>
    <mergeCell ref="A83:C83"/>
    <mergeCell ref="A87:C87"/>
    <mergeCell ref="A97:C97"/>
    <mergeCell ref="A102:C102"/>
    <mergeCell ref="A111:C111"/>
    <mergeCell ref="A120:C120"/>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CEBDD-D899-4AB4-B7C9-49F2224192E6}">
  <dimension ref="A1:S33"/>
  <sheetViews>
    <sheetView topLeftCell="I3" workbookViewId="0">
      <selection activeCell="P5" sqref="P5"/>
    </sheetView>
  </sheetViews>
  <sheetFormatPr defaultRowHeight="15"/>
  <cols>
    <col min="1" max="1" width="29" customWidth="1"/>
    <col min="2" max="2" width="36.5703125" bestFit="1" customWidth="1"/>
    <col min="3" max="5" width="40.85546875" style="29" customWidth="1"/>
    <col min="6" max="6" width="22" style="29" customWidth="1"/>
    <col min="7" max="7" width="12.28515625" style="29" customWidth="1"/>
    <col min="8" max="8" width="18.7109375" style="29" customWidth="1"/>
    <col min="16" max="16" width="38.42578125" bestFit="1" customWidth="1"/>
    <col min="17" max="17" width="11.7109375" bestFit="1" customWidth="1"/>
    <col min="18" max="18" width="30.28515625" customWidth="1"/>
    <col min="19" max="19" width="42.5703125" style="29" customWidth="1"/>
  </cols>
  <sheetData>
    <row r="1" spans="1:18" ht="36">
      <c r="A1" s="191" t="s">
        <v>965</v>
      </c>
      <c r="B1" s="29"/>
    </row>
    <row r="2" spans="1:18" ht="78" customHeight="1">
      <c r="A2" s="126" t="s">
        <v>81</v>
      </c>
      <c r="B2" s="193" t="s">
        <v>808</v>
      </c>
      <c r="C2" s="193" t="s">
        <v>919</v>
      </c>
      <c r="D2" s="193" t="s">
        <v>920</v>
      </c>
      <c r="E2" s="194" t="s">
        <v>921</v>
      </c>
      <c r="F2" s="193" t="s">
        <v>678</v>
      </c>
      <c r="G2" s="193" t="s">
        <v>237</v>
      </c>
      <c r="H2" s="193" t="s">
        <v>464</v>
      </c>
    </row>
    <row r="3" spans="1:18" ht="30.75">
      <c r="A3" s="112" t="s">
        <v>928</v>
      </c>
      <c r="B3" s="195" t="s">
        <v>924</v>
      </c>
      <c r="C3" s="112">
        <v>0</v>
      </c>
      <c r="D3" s="112"/>
      <c r="E3" s="112"/>
      <c r="F3" s="112"/>
      <c r="G3" s="112"/>
      <c r="H3" s="112">
        <f>SUM(C3:G3)</f>
        <v>0</v>
      </c>
    </row>
    <row r="4" spans="1:18">
      <c r="A4" s="112" t="s">
        <v>929</v>
      </c>
      <c r="B4" s="195" t="s">
        <v>924</v>
      </c>
      <c r="C4" s="112">
        <v>0</v>
      </c>
      <c r="D4" s="112"/>
      <c r="E4" s="112"/>
      <c r="F4" s="112"/>
      <c r="G4" s="112"/>
      <c r="H4" s="112">
        <f t="shared" ref="H4:H33" si="0">SUM(C4:G4)</f>
        <v>0</v>
      </c>
    </row>
    <row r="5" spans="1:18">
      <c r="A5" s="112" t="s">
        <v>930</v>
      </c>
      <c r="B5" s="195" t="s">
        <v>924</v>
      </c>
      <c r="C5" s="112">
        <v>0</v>
      </c>
      <c r="D5" s="112"/>
      <c r="E5" s="112"/>
      <c r="F5" s="112"/>
      <c r="G5" s="112"/>
      <c r="H5" s="112">
        <f t="shared" si="0"/>
        <v>0</v>
      </c>
      <c r="P5" s="55" t="s">
        <v>808</v>
      </c>
      <c r="Q5" t="s">
        <v>953</v>
      </c>
    </row>
    <row r="6" spans="1:18" ht="70.5" customHeight="1">
      <c r="A6" s="112" t="s">
        <v>932</v>
      </c>
      <c r="B6" s="195" t="s">
        <v>924</v>
      </c>
      <c r="C6" s="112">
        <v>0</v>
      </c>
      <c r="D6" s="112"/>
      <c r="E6" s="112"/>
      <c r="F6" s="112"/>
      <c r="G6" s="112"/>
      <c r="H6" s="112">
        <f t="shared" si="0"/>
        <v>0</v>
      </c>
      <c r="P6" s="98" t="s">
        <v>933</v>
      </c>
      <c r="Q6" s="98">
        <v>4</v>
      </c>
      <c r="R6" s="112" t="str">
        <f>IF(Q6&gt;=3,"Baby Pediatric Symptom Checklist Inflexibility : Need Review","Baby Pediatric Symptom Checklist Inflexibility : Appears ok")</f>
        <v>Baby Pediatric Symptom Checklist Inflexibility : Need Review</v>
      </c>
    </row>
    <row r="7" spans="1:18" ht="71.25" customHeight="1">
      <c r="A7" s="112" t="s">
        <v>934</v>
      </c>
      <c r="B7" s="195" t="s">
        <v>924</v>
      </c>
      <c r="C7" s="112">
        <v>0</v>
      </c>
      <c r="D7" s="112"/>
      <c r="E7" s="112"/>
      <c r="F7" s="112"/>
      <c r="G7" s="112"/>
      <c r="H7" s="112">
        <f t="shared" si="0"/>
        <v>0</v>
      </c>
      <c r="P7" s="98" t="s">
        <v>935</v>
      </c>
      <c r="Q7" s="98">
        <v>4</v>
      </c>
      <c r="R7" s="112" t="str">
        <f>IF(Q7&gt;=3,"Baby Pediatric Symptom Checklist Irritability :  Need Review","Baby Pediatric Symptom Checklist Irritability :  Appears ok")</f>
        <v>Baby Pediatric Symptom Checklist Irritability :  Need Review</v>
      </c>
    </row>
    <row r="8" spans="1:18" ht="46.5" customHeight="1">
      <c r="A8" s="112" t="s">
        <v>936</v>
      </c>
      <c r="B8" s="195" t="s">
        <v>924</v>
      </c>
      <c r="C8" s="112">
        <v>0</v>
      </c>
      <c r="D8" s="112"/>
      <c r="E8" s="112"/>
      <c r="F8" s="112"/>
      <c r="G8" s="112"/>
      <c r="H8" s="112">
        <f t="shared" si="0"/>
        <v>0</v>
      </c>
      <c r="P8" s="98" t="s">
        <v>937</v>
      </c>
      <c r="Q8" s="98">
        <v>4</v>
      </c>
      <c r="R8" s="112" t="str">
        <f>IF(Q8&gt;=3,"Baby Pediatric Symptom Checklist Routine  : Need Review","Baby Pediatric Symptom Checklist Routine : Appears ok")</f>
        <v>Baby Pediatric Symptom Checklist Routine  : Need Review</v>
      </c>
    </row>
    <row r="9" spans="1:18">
      <c r="A9" s="112" t="s">
        <v>966</v>
      </c>
      <c r="B9" s="195" t="s">
        <v>924</v>
      </c>
      <c r="C9" s="112">
        <v>0</v>
      </c>
      <c r="D9" s="112"/>
      <c r="E9" s="112"/>
      <c r="F9" s="112"/>
      <c r="G9" s="112"/>
      <c r="H9" s="112">
        <f t="shared" si="0"/>
        <v>0</v>
      </c>
      <c r="P9" s="98" t="s">
        <v>924</v>
      </c>
      <c r="Q9" s="98">
        <v>0</v>
      </c>
      <c r="R9" s="109"/>
    </row>
    <row r="10" spans="1:18" ht="30.75">
      <c r="A10" s="112" t="s">
        <v>967</v>
      </c>
      <c r="B10" s="195" t="s">
        <v>924</v>
      </c>
      <c r="C10" s="112">
        <v>0</v>
      </c>
      <c r="D10" s="112"/>
      <c r="E10" s="112"/>
      <c r="F10" s="112"/>
      <c r="G10" s="112"/>
      <c r="H10" s="112">
        <f t="shared" si="0"/>
        <v>0</v>
      </c>
      <c r="P10" s="198" t="s">
        <v>947</v>
      </c>
      <c r="Q10" s="198">
        <v>2</v>
      </c>
      <c r="R10" s="198" t="str">
        <f>IF(Q10&gt;3,"Family Depression : Yes","Family Depression : No")</f>
        <v>Family Depression : No</v>
      </c>
    </row>
    <row r="11" spans="1:18" ht="30.75">
      <c r="A11" s="112" t="s">
        <v>968</v>
      </c>
      <c r="B11" s="195" t="s">
        <v>924</v>
      </c>
      <c r="C11" s="112">
        <v>0</v>
      </c>
      <c r="D11" s="112"/>
      <c r="E11" s="112"/>
      <c r="F11" s="112"/>
      <c r="G11" s="112"/>
      <c r="H11" s="112">
        <f t="shared" si="0"/>
        <v>0</v>
      </c>
      <c r="P11" s="98" t="s">
        <v>940</v>
      </c>
      <c r="Q11" s="98">
        <v>1</v>
      </c>
      <c r="R11" s="119" t="str">
        <f>IF(Q11&gt;=1,"Family Disorder : Yes","Family Disorder : NO")</f>
        <v>Family Disorder : Yes</v>
      </c>
    </row>
    <row r="12" spans="1:18" ht="30.75">
      <c r="A12" s="119" t="s">
        <v>969</v>
      </c>
      <c r="B12" s="196" t="s">
        <v>924</v>
      </c>
      <c r="C12" s="112">
        <v>0</v>
      </c>
      <c r="D12" s="119"/>
      <c r="E12" s="119"/>
      <c r="F12" s="119"/>
      <c r="G12" s="119"/>
      <c r="H12" s="119">
        <f t="shared" si="0"/>
        <v>0</v>
      </c>
      <c r="P12" s="98" t="s">
        <v>949</v>
      </c>
      <c r="Q12" s="98">
        <v>2</v>
      </c>
      <c r="R12" s="98" t="str">
        <f>IF(Q12&gt;=1,"Family Domestic Violence : Yes","Family Domestic Violence : No")</f>
        <v>Family Domestic Violence : Yes</v>
      </c>
    </row>
    <row r="13" spans="1:18" ht="30.75">
      <c r="A13" s="112" t="s">
        <v>938</v>
      </c>
      <c r="B13" s="98" t="s">
        <v>933</v>
      </c>
      <c r="C13" s="112"/>
      <c r="D13" s="112">
        <v>1</v>
      </c>
      <c r="E13" s="112"/>
      <c r="F13" s="112"/>
      <c r="G13" s="112"/>
      <c r="H13" s="119">
        <f t="shared" si="0"/>
        <v>1</v>
      </c>
      <c r="P13" s="98" t="s">
        <v>945</v>
      </c>
      <c r="Q13" s="98">
        <v>1</v>
      </c>
      <c r="R13" s="168" t="str">
        <f>IF(Q13&gt;=1,"Family Insecurity : Yes","Family Insecurity : No")</f>
        <v>Family Insecurity : Yes</v>
      </c>
    </row>
    <row r="14" spans="1:18" ht="30.75">
      <c r="A14" s="112" t="s">
        <v>939</v>
      </c>
      <c r="B14" s="98" t="s">
        <v>933</v>
      </c>
      <c r="C14" s="112"/>
      <c r="D14" s="112">
        <v>1</v>
      </c>
      <c r="E14" s="112"/>
      <c r="F14" s="112"/>
      <c r="G14" s="112"/>
      <c r="H14" s="119">
        <f t="shared" si="0"/>
        <v>1</v>
      </c>
      <c r="P14" s="98" t="s">
        <v>970</v>
      </c>
      <c r="Q14" s="98">
        <v>1</v>
      </c>
      <c r="R14" s="112" t="str">
        <f>IF(Q14&gt;=1,"Tobacco Consume : Yes","Tobacco Consume : No")</f>
        <v>Tobacco Consume : Yes</v>
      </c>
    </row>
    <row r="15" spans="1:18" ht="30.75">
      <c r="A15" s="112" t="s">
        <v>941</v>
      </c>
      <c r="B15" s="98" t="s">
        <v>933</v>
      </c>
      <c r="C15" s="112"/>
      <c r="D15" s="112">
        <v>1</v>
      </c>
      <c r="E15" s="112"/>
      <c r="F15" s="112"/>
      <c r="G15" s="112"/>
      <c r="H15" s="119">
        <f t="shared" si="0"/>
        <v>1</v>
      </c>
      <c r="P15" t="s">
        <v>346</v>
      </c>
    </row>
    <row r="16" spans="1:18" ht="30.75">
      <c r="A16" s="119" t="s">
        <v>943</v>
      </c>
      <c r="B16" s="109" t="s">
        <v>933</v>
      </c>
      <c r="C16" s="119"/>
      <c r="D16" s="112">
        <v>1</v>
      </c>
      <c r="E16" s="119"/>
      <c r="F16" s="119"/>
      <c r="G16" s="119"/>
      <c r="H16" s="119">
        <f t="shared" si="0"/>
        <v>1</v>
      </c>
      <c r="P16" t="s">
        <v>347</v>
      </c>
      <c r="Q16">
        <v>19</v>
      </c>
    </row>
    <row r="17" spans="1:8">
      <c r="A17" s="112" t="s">
        <v>944</v>
      </c>
      <c r="B17" s="115" t="s">
        <v>935</v>
      </c>
      <c r="C17" s="112"/>
      <c r="D17" s="112">
        <v>1</v>
      </c>
      <c r="E17" s="112"/>
      <c r="F17" s="112"/>
      <c r="G17" s="112"/>
      <c r="H17" s="119">
        <f t="shared" si="0"/>
        <v>1</v>
      </c>
    </row>
    <row r="18" spans="1:8" ht="30.75">
      <c r="A18" s="112" t="s">
        <v>946</v>
      </c>
      <c r="B18" s="115" t="s">
        <v>935</v>
      </c>
      <c r="C18" s="112"/>
      <c r="D18" s="112">
        <v>1</v>
      </c>
      <c r="E18" s="112"/>
      <c r="F18" s="112"/>
      <c r="G18" s="112"/>
      <c r="H18" s="119">
        <f t="shared" si="0"/>
        <v>1</v>
      </c>
    </row>
    <row r="19" spans="1:8">
      <c r="A19" s="112" t="s">
        <v>948</v>
      </c>
      <c r="B19" s="115" t="s">
        <v>935</v>
      </c>
      <c r="C19" s="112"/>
      <c r="D19" s="112">
        <v>1</v>
      </c>
      <c r="E19" s="112"/>
      <c r="F19" s="112"/>
      <c r="G19" s="112"/>
      <c r="H19" s="119">
        <f t="shared" si="0"/>
        <v>1</v>
      </c>
    </row>
    <row r="20" spans="1:8">
      <c r="A20" s="109" t="s">
        <v>950</v>
      </c>
      <c r="B20" s="143" t="s">
        <v>935</v>
      </c>
      <c r="C20" s="119"/>
      <c r="D20" s="112">
        <v>1</v>
      </c>
      <c r="E20" s="119"/>
      <c r="F20" s="119"/>
      <c r="G20" s="142"/>
      <c r="H20" s="119">
        <f t="shared" si="0"/>
        <v>1</v>
      </c>
    </row>
    <row r="21" spans="1:8" ht="30.75">
      <c r="A21" s="112" t="s">
        <v>951</v>
      </c>
      <c r="B21" s="98" t="s">
        <v>937</v>
      </c>
      <c r="C21" s="112"/>
      <c r="D21" s="112">
        <v>1</v>
      </c>
      <c r="E21" s="112"/>
      <c r="F21" s="112"/>
      <c r="G21" s="112"/>
      <c r="H21" s="119">
        <f t="shared" si="0"/>
        <v>1</v>
      </c>
    </row>
    <row r="22" spans="1:8" ht="30.75">
      <c r="A22" s="112" t="s">
        <v>952</v>
      </c>
      <c r="B22" s="98" t="s">
        <v>937</v>
      </c>
      <c r="C22" s="112"/>
      <c r="D22" s="112">
        <v>1</v>
      </c>
      <c r="E22" s="112"/>
      <c r="F22" s="112"/>
      <c r="G22" s="112"/>
      <c r="H22" s="119">
        <f t="shared" si="0"/>
        <v>1</v>
      </c>
    </row>
    <row r="23" spans="1:8" ht="30.75">
      <c r="A23" s="112" t="s">
        <v>954</v>
      </c>
      <c r="B23" s="98" t="s">
        <v>937</v>
      </c>
      <c r="C23" s="112"/>
      <c r="D23" s="112">
        <v>1</v>
      </c>
      <c r="E23" s="112"/>
      <c r="F23" s="112"/>
      <c r="G23" s="112"/>
      <c r="H23" s="119">
        <f t="shared" si="0"/>
        <v>1</v>
      </c>
    </row>
    <row r="24" spans="1:8" ht="30.75">
      <c r="A24" s="119" t="s">
        <v>955</v>
      </c>
      <c r="B24" s="109" t="s">
        <v>937</v>
      </c>
      <c r="C24" s="119"/>
      <c r="D24" s="112">
        <v>1</v>
      </c>
      <c r="E24" s="119"/>
      <c r="F24" s="119"/>
      <c r="G24" s="119"/>
      <c r="H24" s="119">
        <f t="shared" si="0"/>
        <v>1</v>
      </c>
    </row>
    <row r="25" spans="1:8" ht="30.75">
      <c r="A25" s="112" t="s">
        <v>956</v>
      </c>
      <c r="B25" s="98" t="s">
        <v>970</v>
      </c>
      <c r="C25" s="112"/>
      <c r="D25" s="112">
        <v>1</v>
      </c>
      <c r="E25" s="112"/>
      <c r="F25" s="112"/>
      <c r="G25" s="112"/>
      <c r="H25" s="119">
        <f t="shared" si="0"/>
        <v>1</v>
      </c>
    </row>
    <row r="26" spans="1:8" ht="45.75">
      <c r="A26" s="112" t="s">
        <v>957</v>
      </c>
      <c r="B26" s="98" t="s">
        <v>940</v>
      </c>
      <c r="C26" s="112">
        <v>0</v>
      </c>
      <c r="D26" s="112"/>
      <c r="E26" s="112"/>
      <c r="F26" s="112"/>
      <c r="G26" s="112"/>
      <c r="H26" s="119">
        <f t="shared" si="0"/>
        <v>0</v>
      </c>
    </row>
    <row r="27" spans="1:8" ht="60.75">
      <c r="A27" s="112" t="s">
        <v>958</v>
      </c>
      <c r="B27" s="98" t="s">
        <v>940</v>
      </c>
      <c r="C27" s="112"/>
      <c r="D27" s="112">
        <v>1</v>
      </c>
      <c r="E27" s="112"/>
      <c r="F27" s="112"/>
      <c r="G27" s="112"/>
      <c r="H27" s="119">
        <f t="shared" si="0"/>
        <v>1</v>
      </c>
    </row>
    <row r="28" spans="1:8" ht="45.75">
      <c r="A28" s="119" t="s">
        <v>959</v>
      </c>
      <c r="B28" s="109" t="s">
        <v>940</v>
      </c>
      <c r="C28" s="119">
        <v>0</v>
      </c>
      <c r="D28" s="119"/>
      <c r="E28" s="119"/>
      <c r="F28" s="119"/>
      <c r="G28" s="119"/>
      <c r="H28" s="119">
        <f t="shared" si="0"/>
        <v>0</v>
      </c>
    </row>
    <row r="29" spans="1:8" ht="60.75">
      <c r="A29" s="141" t="s">
        <v>960</v>
      </c>
      <c r="B29" s="98" t="s">
        <v>945</v>
      </c>
      <c r="C29" s="112"/>
      <c r="D29" s="112">
        <v>1</v>
      </c>
      <c r="E29" s="112"/>
      <c r="F29" s="112"/>
      <c r="G29" s="112"/>
      <c r="H29" s="119">
        <f t="shared" si="0"/>
        <v>1</v>
      </c>
    </row>
    <row r="30" spans="1:8" ht="30.75">
      <c r="A30" s="141" t="s">
        <v>961</v>
      </c>
      <c r="B30" s="98" t="s">
        <v>947</v>
      </c>
      <c r="C30" s="112"/>
      <c r="D30" s="112">
        <v>1</v>
      </c>
      <c r="E30" s="112"/>
      <c r="F30" s="112"/>
      <c r="G30" s="112"/>
      <c r="H30" s="119">
        <f t="shared" si="0"/>
        <v>1</v>
      </c>
    </row>
    <row r="31" spans="1:8" ht="30.75">
      <c r="A31" s="142" t="s">
        <v>962</v>
      </c>
      <c r="B31" s="98" t="s">
        <v>947</v>
      </c>
      <c r="C31" s="112"/>
      <c r="D31" s="112">
        <v>1</v>
      </c>
      <c r="E31" s="112"/>
      <c r="F31" s="112"/>
      <c r="G31" s="112"/>
      <c r="H31" s="119">
        <f t="shared" si="0"/>
        <v>1</v>
      </c>
    </row>
    <row r="32" spans="1:8" ht="45.75">
      <c r="A32" s="112" t="s">
        <v>963</v>
      </c>
      <c r="B32" s="197" t="s">
        <v>949</v>
      </c>
      <c r="C32" s="112"/>
      <c r="D32" s="112">
        <v>1</v>
      </c>
      <c r="E32" s="112"/>
      <c r="F32" s="112"/>
      <c r="G32" s="112"/>
      <c r="H32" s="119">
        <f t="shared" si="0"/>
        <v>1</v>
      </c>
    </row>
    <row r="33" spans="1:8" ht="30.75">
      <c r="A33" s="112" t="s">
        <v>964</v>
      </c>
      <c r="B33" s="197" t="s">
        <v>949</v>
      </c>
      <c r="C33" s="112"/>
      <c r="D33" s="112">
        <v>1</v>
      </c>
      <c r="E33" s="112"/>
      <c r="F33" s="112"/>
      <c r="G33" s="112"/>
      <c r="H33" s="119">
        <f t="shared" si="0"/>
        <v>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5A48C-810F-45A1-9274-9AEE5DFA1946}">
  <dimension ref="A1:S35"/>
  <sheetViews>
    <sheetView topLeftCell="K8" workbookViewId="0">
      <selection activeCell="S10" sqref="S10"/>
    </sheetView>
  </sheetViews>
  <sheetFormatPr defaultRowHeight="15"/>
  <cols>
    <col min="1" max="1" width="26.42578125" customWidth="1"/>
    <col min="2" max="2" width="34.7109375" customWidth="1"/>
    <col min="3" max="3" width="27.5703125" style="29" customWidth="1"/>
    <col min="4" max="4" width="60.85546875" style="29" customWidth="1"/>
    <col min="5" max="5" width="32.7109375" style="29" customWidth="1"/>
    <col min="6" max="6" width="20.5703125" style="29" customWidth="1"/>
    <col min="7" max="7" width="9.28515625" style="29" customWidth="1"/>
    <col min="8" max="8" width="9.140625" style="29"/>
    <col min="16" max="16" width="38.42578125" bestFit="1" customWidth="1"/>
    <col min="17" max="17" width="11.7109375" bestFit="1" customWidth="1"/>
    <col min="18" max="18" width="33.5703125" style="29" customWidth="1"/>
    <col min="19" max="19" width="26.5703125" style="29" customWidth="1"/>
  </cols>
  <sheetData>
    <row r="1" spans="1:19" ht="54">
      <c r="A1" s="191" t="s">
        <v>971</v>
      </c>
      <c r="B1" s="29"/>
    </row>
    <row r="2" spans="1:19" ht="45.75">
      <c r="A2" s="123" t="s">
        <v>81</v>
      </c>
      <c r="B2" s="121" t="s">
        <v>808</v>
      </c>
      <c r="C2" s="121" t="s">
        <v>919</v>
      </c>
      <c r="D2" s="121" t="s">
        <v>920</v>
      </c>
      <c r="E2" s="121" t="s">
        <v>921</v>
      </c>
      <c r="F2" s="121" t="s">
        <v>678</v>
      </c>
      <c r="G2" s="121" t="s">
        <v>237</v>
      </c>
      <c r="H2" s="121" t="s">
        <v>464</v>
      </c>
    </row>
    <row r="3" spans="1:19" ht="30.75">
      <c r="A3" s="112" t="s">
        <v>934</v>
      </c>
      <c r="B3" s="98" t="s">
        <v>924</v>
      </c>
      <c r="C3" s="112">
        <v>0</v>
      </c>
      <c r="D3" s="112"/>
      <c r="E3" s="112"/>
      <c r="F3" s="112"/>
      <c r="G3" s="112"/>
      <c r="H3" s="112">
        <f>SUM(C3:F3)</f>
        <v>0</v>
      </c>
    </row>
    <row r="4" spans="1:19" ht="30.75">
      <c r="A4" s="112" t="s">
        <v>936</v>
      </c>
      <c r="B4" s="98" t="s">
        <v>924</v>
      </c>
      <c r="C4" s="112">
        <v>0</v>
      </c>
      <c r="D4" s="112"/>
      <c r="E4" s="112"/>
      <c r="F4" s="112"/>
      <c r="G4" s="112"/>
      <c r="H4" s="112">
        <f t="shared" ref="H4:H28" si="0">SUM(C4:F4)</f>
        <v>0</v>
      </c>
    </row>
    <row r="5" spans="1:19">
      <c r="A5" s="112" t="s">
        <v>966</v>
      </c>
      <c r="B5" s="98" t="s">
        <v>924</v>
      </c>
      <c r="C5" s="112">
        <v>0</v>
      </c>
      <c r="D5" s="112"/>
      <c r="E5" s="112"/>
      <c r="F5" s="112"/>
      <c r="G5" s="112"/>
      <c r="H5" s="112">
        <f t="shared" si="0"/>
        <v>0</v>
      </c>
    </row>
    <row r="6" spans="1:19" ht="30.75">
      <c r="A6" s="112" t="s">
        <v>967</v>
      </c>
      <c r="B6" s="98" t="s">
        <v>924</v>
      </c>
      <c r="C6" s="112">
        <v>0</v>
      </c>
      <c r="D6" s="112"/>
      <c r="E6" s="112"/>
      <c r="F6" s="112"/>
      <c r="G6" s="112"/>
      <c r="H6" s="112">
        <f t="shared" si="0"/>
        <v>0</v>
      </c>
    </row>
    <row r="7" spans="1:19" ht="30.75">
      <c r="A7" s="112" t="s">
        <v>968</v>
      </c>
      <c r="B7" s="98" t="s">
        <v>924</v>
      </c>
      <c r="C7" s="112">
        <v>0</v>
      </c>
      <c r="D7" s="112"/>
      <c r="E7" s="112"/>
      <c r="F7" s="112"/>
      <c r="G7" s="112"/>
      <c r="H7" s="112">
        <f t="shared" si="0"/>
        <v>0</v>
      </c>
      <c r="P7" s="55" t="s">
        <v>808</v>
      </c>
      <c r="Q7" t="s">
        <v>953</v>
      </c>
    </row>
    <row r="8" spans="1:19" ht="106.5">
      <c r="A8" s="112" t="s">
        <v>969</v>
      </c>
      <c r="B8" s="98" t="s">
        <v>924</v>
      </c>
      <c r="C8" s="112">
        <v>0</v>
      </c>
      <c r="D8" s="112"/>
      <c r="E8" s="112"/>
      <c r="F8" s="112"/>
      <c r="G8" s="112"/>
      <c r="H8" s="112">
        <f t="shared" si="0"/>
        <v>0</v>
      </c>
      <c r="P8" s="98" t="s">
        <v>933</v>
      </c>
      <c r="Q8" s="98">
        <v>4</v>
      </c>
      <c r="R8" s="141" t="str">
        <f>IF(Q8&gt;=3,"Baby Pediatric Symptom Checklist Inflexibility : Need Review","Baby Pediatric Symptom Checklist Inflexibility : Appears ok")</f>
        <v>Baby Pediatric Symptom Checklist Inflexibility : Need Review</v>
      </c>
      <c r="S8" s="112" t="str">
        <f>IF(R8="Inflexibility: Appears okay", "Your child’s flexibility with changes or routines seems to be within typical limits. That’s a helpful strength.", "Your answers suggest your child might be having difficulty with flexibility or adapting to change. This can be common and worth keeping an eye on — we’re here to support if needed.")</f>
        <v>Your answers suggest your child might be having difficulty with flexibility or adapting to change. This can be common and worth keeping an eye on — we’re here to support if needed.</v>
      </c>
    </row>
    <row r="9" spans="1:19" ht="106.5">
      <c r="A9" s="112" t="s">
        <v>972</v>
      </c>
      <c r="B9" s="98" t="s">
        <v>924</v>
      </c>
      <c r="C9" s="112">
        <v>0</v>
      </c>
      <c r="D9" s="112"/>
      <c r="E9" s="112"/>
      <c r="F9" s="112"/>
      <c r="G9" s="112"/>
      <c r="H9" s="112">
        <f t="shared" si="0"/>
        <v>0</v>
      </c>
      <c r="P9" s="98" t="s">
        <v>935</v>
      </c>
      <c r="Q9" s="98">
        <v>4</v>
      </c>
      <c r="R9" s="141" t="str">
        <f>IF(Q9&gt;=3,"Baby Pediatric Symptom Checklist Irritability :  Need Review","Baby Pediatric Symptom Checklist Irritability :  Appears ok")</f>
        <v>Baby Pediatric Symptom Checklist Irritability :  Need Review</v>
      </c>
      <c r="S9" s="112" t="str">
        <f>IF(R9="Baby Pediatric Symptom Checklist Irritability :  Appears ok", "Your child’s level of irritability is within the typical range for their age. No concerns here.", "Your responses suggest your child may be showing signs of increased irritability. It could be helpful to explore what might be causing this and whether additional support is needed.")</f>
        <v>Your responses suggest your child may be showing signs of increased irritability. It could be helpful to explore what might be causing this and whether additional support is needed.</v>
      </c>
    </row>
    <row r="10" spans="1:19" ht="91.5">
      <c r="A10" s="112" t="s">
        <v>973</v>
      </c>
      <c r="B10" s="98" t="s">
        <v>924</v>
      </c>
      <c r="C10" s="112">
        <v>0</v>
      </c>
      <c r="D10" s="112"/>
      <c r="E10" s="112"/>
      <c r="F10" s="112"/>
      <c r="G10" s="112"/>
      <c r="H10" s="112">
        <f t="shared" si="0"/>
        <v>0</v>
      </c>
      <c r="P10" s="98" t="s">
        <v>937</v>
      </c>
      <c r="Q10" s="98">
        <v>4</v>
      </c>
      <c r="R10" s="141" t="str">
        <f>IF(Q10&gt;=3,"Baby Pediatric Symptom Checklist Routine  : Need Review","Baby Pediatric Symptom Checklist Routine : Appears ok")</f>
        <v>Baby Pediatric Symptom Checklist Routine  : Need Review</v>
      </c>
      <c r="S10" s="112" t="str">
        <f>IF(R10="Routines: Appears okay", "Your child’s ability to manage or cope with daily routines looks to be on track for their age.", "There may be some challenges in how your child handles daily routines. This is something we can look into more closely and support as needed.")</f>
        <v>There may be some challenges in how your child handles daily routines. This is something we can look into more closely and support as needed.</v>
      </c>
    </row>
    <row r="11" spans="1:19">
      <c r="A11" s="98" t="s">
        <v>974</v>
      </c>
      <c r="B11" s="98" t="s">
        <v>924</v>
      </c>
      <c r="C11" s="112">
        <v>0</v>
      </c>
      <c r="D11" s="112"/>
      <c r="E11" s="112"/>
      <c r="F11" s="112"/>
      <c r="G11" s="112"/>
      <c r="H11" s="112">
        <f t="shared" si="0"/>
        <v>0</v>
      </c>
      <c r="P11" s="98" t="s">
        <v>924</v>
      </c>
      <c r="Q11" s="98">
        <v>0</v>
      </c>
      <c r="R11" s="141"/>
      <c r="S11" s="112"/>
    </row>
    <row r="12" spans="1:19">
      <c r="A12" s="98" t="s">
        <v>975</v>
      </c>
      <c r="B12" s="109" t="s">
        <v>924</v>
      </c>
      <c r="C12" s="112">
        <v>0</v>
      </c>
      <c r="D12" s="112"/>
      <c r="E12" s="112"/>
      <c r="F12" s="112"/>
      <c r="G12" s="112"/>
      <c r="H12" s="112">
        <f t="shared" si="0"/>
        <v>0</v>
      </c>
      <c r="P12" s="98" t="s">
        <v>947</v>
      </c>
      <c r="Q12" s="98">
        <v>4</v>
      </c>
      <c r="R12" s="216" t="str">
        <f>IF(Q12&gt;3,"Family Depression : Yes","Family Depression : No")</f>
        <v>Family Depression : Yes</v>
      </c>
      <c r="S12" s="112"/>
    </row>
    <row r="13" spans="1:19" ht="30.75">
      <c r="A13" s="141" t="s">
        <v>938</v>
      </c>
      <c r="B13" s="98" t="s">
        <v>933</v>
      </c>
      <c r="C13" s="197"/>
      <c r="D13" s="112">
        <v>1</v>
      </c>
      <c r="E13" s="112"/>
      <c r="F13" s="112"/>
      <c r="G13" s="112"/>
      <c r="H13" s="112">
        <f t="shared" si="0"/>
        <v>1</v>
      </c>
      <c r="P13" s="98" t="s">
        <v>940</v>
      </c>
      <c r="Q13" s="98">
        <v>3</v>
      </c>
      <c r="R13" s="141" t="str">
        <f>IF(Q13&gt;=1,"Family Disorder : Yes","Family Disorder : NO")</f>
        <v>Family Disorder : Yes</v>
      </c>
      <c r="S13" s="112"/>
    </row>
    <row r="14" spans="1:19" ht="30.75">
      <c r="A14" s="141" t="s">
        <v>939</v>
      </c>
      <c r="B14" s="98" t="s">
        <v>933</v>
      </c>
      <c r="C14" s="197"/>
      <c r="D14" s="112">
        <v>1</v>
      </c>
      <c r="E14" s="112"/>
      <c r="F14" s="112"/>
      <c r="G14" s="112"/>
      <c r="H14" s="112">
        <f t="shared" si="0"/>
        <v>1</v>
      </c>
      <c r="P14" s="98" t="s">
        <v>949</v>
      </c>
      <c r="Q14" s="98">
        <v>4</v>
      </c>
      <c r="R14" s="141" t="str">
        <f>IF(Q14&gt;=1,"Family Domestic Violence : Yes","Family Domestic Violence : No")</f>
        <v>Family Domestic Violence : Yes</v>
      </c>
      <c r="S14" s="112"/>
    </row>
    <row r="15" spans="1:19" ht="30.75">
      <c r="A15" s="141" t="s">
        <v>941</v>
      </c>
      <c r="B15" s="98" t="s">
        <v>933</v>
      </c>
      <c r="C15" s="197"/>
      <c r="D15" s="112">
        <v>1</v>
      </c>
      <c r="E15" s="112"/>
      <c r="F15" s="112"/>
      <c r="G15" s="112"/>
      <c r="H15" s="112">
        <f t="shared" si="0"/>
        <v>1</v>
      </c>
      <c r="P15" s="98" t="s">
        <v>945</v>
      </c>
      <c r="Q15" s="98">
        <v>1</v>
      </c>
      <c r="R15" s="141" t="str">
        <f>IF(Q15&gt;=1,"Family Insecurity : Yes","Family Insecurity : No")</f>
        <v>Family Insecurity : Yes</v>
      </c>
      <c r="S15" s="112"/>
    </row>
    <row r="16" spans="1:19" ht="30.75">
      <c r="A16" s="141" t="s">
        <v>943</v>
      </c>
      <c r="B16" s="98" t="s">
        <v>933</v>
      </c>
      <c r="C16" s="197"/>
      <c r="D16" s="112">
        <v>1</v>
      </c>
      <c r="E16" s="112"/>
      <c r="F16" s="112"/>
      <c r="G16" s="112"/>
      <c r="H16" s="112">
        <f t="shared" si="0"/>
        <v>1</v>
      </c>
      <c r="P16" s="98" t="s">
        <v>970</v>
      </c>
      <c r="Q16" s="98">
        <v>1</v>
      </c>
      <c r="R16" s="141" t="str">
        <f>IF(Q16&gt;=1,"Tobacco Consume : Yes","Tobacco Consume : No")</f>
        <v>Tobacco Consume : Yes</v>
      </c>
      <c r="S16" s="112"/>
    </row>
    <row r="17" spans="1:17">
      <c r="A17" s="98" t="s">
        <v>944</v>
      </c>
      <c r="B17" s="145" t="s">
        <v>935</v>
      </c>
      <c r="C17" s="112"/>
      <c r="D17" s="112">
        <v>1</v>
      </c>
      <c r="E17" s="112"/>
      <c r="F17" s="112"/>
      <c r="G17" s="112"/>
      <c r="H17" s="112">
        <f t="shared" si="0"/>
        <v>1</v>
      </c>
      <c r="P17" t="s">
        <v>346</v>
      </c>
    </row>
    <row r="18" spans="1:17" ht="30.75">
      <c r="A18" s="112" t="s">
        <v>946</v>
      </c>
      <c r="B18" s="145" t="s">
        <v>935</v>
      </c>
      <c r="C18" s="112"/>
      <c r="D18" s="112">
        <v>1</v>
      </c>
      <c r="E18" s="112"/>
      <c r="F18" s="112"/>
      <c r="G18" s="112"/>
      <c r="H18" s="112">
        <f t="shared" si="0"/>
        <v>1</v>
      </c>
      <c r="P18" t="s">
        <v>347</v>
      </c>
      <c r="Q18">
        <v>25</v>
      </c>
    </row>
    <row r="19" spans="1:17" ht="30.75">
      <c r="A19" s="119" t="s">
        <v>948</v>
      </c>
      <c r="B19" s="145" t="s">
        <v>935</v>
      </c>
      <c r="C19" s="112"/>
      <c r="D19" s="112">
        <v>1</v>
      </c>
      <c r="E19" s="112"/>
      <c r="F19" s="112"/>
      <c r="G19" s="112"/>
      <c r="H19" s="112">
        <f t="shared" si="0"/>
        <v>1</v>
      </c>
    </row>
    <row r="20" spans="1:17" ht="30.75">
      <c r="A20" s="112" t="s">
        <v>950</v>
      </c>
      <c r="B20" s="199" t="s">
        <v>935</v>
      </c>
      <c r="C20" s="112"/>
      <c r="D20" s="112">
        <v>1</v>
      </c>
      <c r="E20" s="112"/>
      <c r="F20" s="112"/>
      <c r="G20" s="112"/>
      <c r="H20" s="112">
        <f t="shared" si="0"/>
        <v>1</v>
      </c>
    </row>
    <row r="21" spans="1:17" ht="30.75">
      <c r="A21" s="112" t="s">
        <v>951</v>
      </c>
      <c r="B21" s="104" t="s">
        <v>937</v>
      </c>
      <c r="C21" s="112"/>
      <c r="D21" s="112">
        <v>1</v>
      </c>
      <c r="E21" s="112"/>
      <c r="F21" s="112"/>
      <c r="G21" s="112"/>
      <c r="H21" s="112">
        <f t="shared" si="0"/>
        <v>1</v>
      </c>
    </row>
    <row r="22" spans="1:17" ht="30.75">
      <c r="A22" s="112" t="s">
        <v>952</v>
      </c>
      <c r="B22" s="104" t="s">
        <v>937</v>
      </c>
      <c r="C22" s="119"/>
      <c r="D22" s="112">
        <v>1</v>
      </c>
      <c r="E22" s="119"/>
      <c r="F22" s="119"/>
      <c r="G22" s="119"/>
      <c r="H22" s="112">
        <f t="shared" si="0"/>
        <v>1</v>
      </c>
    </row>
    <row r="23" spans="1:17" ht="30.75">
      <c r="A23" s="112" t="s">
        <v>954</v>
      </c>
      <c r="B23" s="195" t="s">
        <v>937</v>
      </c>
      <c r="C23" s="112"/>
      <c r="D23" s="112">
        <v>1</v>
      </c>
      <c r="E23" s="112"/>
      <c r="F23" s="112"/>
      <c r="G23" s="112"/>
      <c r="H23" s="112">
        <f t="shared" si="0"/>
        <v>1</v>
      </c>
    </row>
    <row r="24" spans="1:17" ht="30.75">
      <c r="A24" s="119" t="s">
        <v>955</v>
      </c>
      <c r="B24" s="196" t="s">
        <v>937</v>
      </c>
      <c r="C24" s="119"/>
      <c r="D24" s="112">
        <v>1</v>
      </c>
      <c r="E24" s="119"/>
      <c r="F24" s="119"/>
      <c r="G24" s="119"/>
      <c r="H24" s="119">
        <f t="shared" si="0"/>
        <v>1</v>
      </c>
    </row>
    <row r="25" spans="1:17" ht="30.75">
      <c r="A25" s="119" t="s">
        <v>956</v>
      </c>
      <c r="B25" s="109" t="s">
        <v>970</v>
      </c>
      <c r="C25" s="119"/>
      <c r="D25" s="119">
        <v>1</v>
      </c>
      <c r="E25" s="119"/>
      <c r="F25" s="119"/>
      <c r="G25" s="119"/>
      <c r="H25" s="119">
        <f t="shared" si="0"/>
        <v>1</v>
      </c>
    </row>
    <row r="26" spans="1:17" ht="60.75">
      <c r="A26" s="112" t="s">
        <v>957</v>
      </c>
      <c r="B26" s="98" t="s">
        <v>940</v>
      </c>
      <c r="C26" s="112"/>
      <c r="D26" s="119">
        <v>1</v>
      </c>
      <c r="E26" s="112"/>
      <c r="F26" s="112"/>
      <c r="G26" s="112"/>
      <c r="H26" s="119">
        <f t="shared" si="0"/>
        <v>1</v>
      </c>
    </row>
    <row r="27" spans="1:17" ht="60.75">
      <c r="A27" s="112" t="s">
        <v>958</v>
      </c>
      <c r="B27" s="98" t="s">
        <v>940</v>
      </c>
      <c r="C27" s="112"/>
      <c r="D27" s="119">
        <v>1</v>
      </c>
      <c r="E27" s="112"/>
      <c r="F27" s="112"/>
      <c r="G27" s="112"/>
      <c r="H27" s="119">
        <f t="shared" si="0"/>
        <v>1</v>
      </c>
    </row>
    <row r="28" spans="1:17" ht="45.75">
      <c r="A28" s="119" t="s">
        <v>959</v>
      </c>
      <c r="B28" s="109" t="s">
        <v>940</v>
      </c>
      <c r="C28" s="119"/>
      <c r="D28" s="119">
        <v>1</v>
      </c>
      <c r="E28" s="119"/>
      <c r="F28" s="119"/>
      <c r="G28" s="119"/>
      <c r="H28" s="119">
        <f t="shared" si="0"/>
        <v>1</v>
      </c>
    </row>
    <row r="29" spans="1:17" ht="60.75">
      <c r="A29" s="112" t="s">
        <v>960</v>
      </c>
      <c r="B29" s="98" t="s">
        <v>945</v>
      </c>
      <c r="C29" s="112"/>
      <c r="D29" s="119">
        <v>1</v>
      </c>
      <c r="E29" s="112"/>
      <c r="F29" s="112"/>
      <c r="G29" s="112"/>
      <c r="H29" s="119">
        <f t="shared" ref="H29:H33" si="1">SUM(C29:F29)</f>
        <v>1</v>
      </c>
    </row>
    <row r="30" spans="1:17" ht="30.75">
      <c r="A30" s="112" t="s">
        <v>961</v>
      </c>
      <c r="B30" s="98" t="s">
        <v>947</v>
      </c>
      <c r="C30" s="112"/>
      <c r="D30" s="112"/>
      <c r="E30" s="112">
        <v>2</v>
      </c>
      <c r="F30" s="112"/>
      <c r="G30" s="112"/>
      <c r="H30" s="119">
        <f t="shared" si="1"/>
        <v>2</v>
      </c>
    </row>
    <row r="31" spans="1:17" ht="30.75">
      <c r="A31" s="119" t="s">
        <v>962</v>
      </c>
      <c r="B31" s="109" t="s">
        <v>947</v>
      </c>
      <c r="C31" s="119"/>
      <c r="D31" s="119"/>
      <c r="E31" s="112">
        <v>2</v>
      </c>
      <c r="F31" s="119"/>
      <c r="G31" s="119"/>
      <c r="H31" s="119">
        <f t="shared" si="1"/>
        <v>2</v>
      </c>
    </row>
    <row r="32" spans="1:17" ht="45.75">
      <c r="A32" s="112" t="s">
        <v>963</v>
      </c>
      <c r="B32" s="112" t="s">
        <v>949</v>
      </c>
      <c r="C32" s="112"/>
      <c r="D32" s="112"/>
      <c r="E32" s="112">
        <v>2</v>
      </c>
      <c r="F32" s="112"/>
      <c r="G32" s="112"/>
      <c r="H32" s="119">
        <f t="shared" si="1"/>
        <v>2</v>
      </c>
    </row>
    <row r="33" spans="1:8" ht="30.75">
      <c r="A33" s="112" t="s">
        <v>964</v>
      </c>
      <c r="B33" s="112" t="s">
        <v>949</v>
      </c>
      <c r="C33" s="112"/>
      <c r="D33" s="112"/>
      <c r="E33" s="112">
        <v>2</v>
      </c>
      <c r="F33" s="112"/>
      <c r="G33" s="112"/>
      <c r="H33" s="119">
        <f t="shared" si="1"/>
        <v>2</v>
      </c>
    </row>
    <row r="34" spans="1:8">
      <c r="A34" s="98"/>
      <c r="B34" s="98"/>
      <c r="C34" s="112"/>
      <c r="D34" s="112"/>
      <c r="E34" s="112"/>
      <c r="F34" s="112"/>
      <c r="G34" s="112"/>
      <c r="H34" s="112"/>
    </row>
    <row r="35" spans="1:8">
      <c r="A35" s="98"/>
      <c r="B35" s="98"/>
      <c r="C35" s="112"/>
      <c r="D35" s="112"/>
      <c r="E35" s="112"/>
      <c r="F35" s="112"/>
      <c r="G35" s="112"/>
      <c r="H35" s="112"/>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B2D8A-C4E7-492B-8775-073350F0B5B1}">
  <dimension ref="A1:S33"/>
  <sheetViews>
    <sheetView topLeftCell="I8" workbookViewId="0">
      <selection activeCell="S8" sqref="S8:S10"/>
    </sheetView>
  </sheetViews>
  <sheetFormatPr defaultRowHeight="15"/>
  <cols>
    <col min="1" max="1" width="37.28515625" customWidth="1"/>
    <col min="2" max="2" width="33.140625" customWidth="1"/>
    <col min="3" max="3" width="38.140625" style="29" customWidth="1"/>
    <col min="4" max="5" width="21.5703125" style="29" customWidth="1"/>
    <col min="6" max="6" width="21" style="29" customWidth="1"/>
    <col min="7" max="8" width="9.140625" style="29"/>
    <col min="16" max="16" width="37.140625" bestFit="1" customWidth="1"/>
    <col min="17" max="17" width="11.42578125" bestFit="1" customWidth="1"/>
    <col min="18" max="18" width="17.7109375" style="29" customWidth="1"/>
    <col min="19" max="19" width="24.42578125" style="29" customWidth="1"/>
  </cols>
  <sheetData>
    <row r="1" spans="1:19" ht="75" customHeight="1">
      <c r="A1" s="191" t="s">
        <v>976</v>
      </c>
      <c r="B1" s="29"/>
    </row>
    <row r="2" spans="1:19" ht="79.5" customHeight="1">
      <c r="A2" s="123" t="s">
        <v>81</v>
      </c>
      <c r="B2" s="121" t="s">
        <v>808</v>
      </c>
      <c r="C2" s="193" t="s">
        <v>919</v>
      </c>
      <c r="D2" s="193" t="s">
        <v>920</v>
      </c>
      <c r="E2" s="193" t="s">
        <v>921</v>
      </c>
      <c r="F2" s="193" t="s">
        <v>678</v>
      </c>
      <c r="G2" s="193" t="s">
        <v>237</v>
      </c>
      <c r="H2" s="193" t="s">
        <v>464</v>
      </c>
    </row>
    <row r="3" spans="1:19">
      <c r="A3" s="112" t="s">
        <v>972</v>
      </c>
      <c r="B3" s="29" t="s">
        <v>924</v>
      </c>
      <c r="C3" s="112">
        <v>0</v>
      </c>
      <c r="D3" s="112"/>
      <c r="E3" s="112"/>
      <c r="F3" s="112"/>
      <c r="G3" s="112"/>
      <c r="H3" s="112">
        <f>SUM(C3:G3)</f>
        <v>0</v>
      </c>
    </row>
    <row r="4" spans="1:19" ht="30.75">
      <c r="A4" s="112" t="s">
        <v>973</v>
      </c>
      <c r="B4" s="29" t="s">
        <v>924</v>
      </c>
      <c r="C4" s="112">
        <v>0</v>
      </c>
      <c r="D4" s="112"/>
      <c r="E4" s="112"/>
      <c r="F4" s="112"/>
      <c r="G4" s="112"/>
      <c r="H4" s="112">
        <f t="shared" ref="H4:H33" si="0">SUM(C4:G4)</f>
        <v>0</v>
      </c>
    </row>
    <row r="5" spans="1:19">
      <c r="A5" s="98" t="s">
        <v>974</v>
      </c>
      <c r="B5" s="29" t="s">
        <v>924</v>
      </c>
      <c r="C5" s="112">
        <v>0</v>
      </c>
      <c r="D5" s="112"/>
      <c r="E5" s="112"/>
      <c r="F5" s="112"/>
      <c r="G5" s="112"/>
      <c r="H5" s="112">
        <f t="shared" si="0"/>
        <v>0</v>
      </c>
    </row>
    <row r="6" spans="1:19">
      <c r="A6" s="98" t="s">
        <v>975</v>
      </c>
      <c r="B6" s="29" t="s">
        <v>924</v>
      </c>
      <c r="C6" s="112"/>
      <c r="D6" s="112">
        <v>1</v>
      </c>
      <c r="E6" s="112"/>
      <c r="F6" s="112"/>
      <c r="G6" s="112"/>
      <c r="H6" s="112">
        <f t="shared" si="0"/>
        <v>1</v>
      </c>
    </row>
    <row r="7" spans="1:19" ht="30.75">
      <c r="A7" s="29" t="s">
        <v>977</v>
      </c>
      <c r="B7" s="29" t="s">
        <v>924</v>
      </c>
      <c r="C7" s="112"/>
      <c r="D7" s="112">
        <v>1</v>
      </c>
      <c r="E7" s="112"/>
      <c r="F7" s="112"/>
      <c r="G7" s="112"/>
      <c r="H7" s="112">
        <f t="shared" si="0"/>
        <v>1</v>
      </c>
      <c r="P7" s="55" t="s">
        <v>808</v>
      </c>
      <c r="Q7" t="s">
        <v>953</v>
      </c>
    </row>
    <row r="8" spans="1:19" ht="156.75" customHeight="1">
      <c r="A8" s="29" t="s">
        <v>978</v>
      </c>
      <c r="B8" s="29" t="s">
        <v>924</v>
      </c>
      <c r="C8" s="112"/>
      <c r="D8" s="112">
        <v>1</v>
      </c>
      <c r="E8" s="112"/>
      <c r="F8" s="112"/>
      <c r="G8" s="112"/>
      <c r="H8" s="112">
        <f t="shared" si="0"/>
        <v>1</v>
      </c>
      <c r="P8" s="98" t="s">
        <v>933</v>
      </c>
      <c r="Q8" s="98">
        <v>4</v>
      </c>
      <c r="R8" s="112" t="str">
        <f>IF(Q8&gt;=3,"Baby Pediatric Symptom Checklist Inflexibility : Need Review","Baby Pediatric Symptom Checklist Inflexibility : Appears ok")</f>
        <v>Baby Pediatric Symptom Checklist Inflexibility : Need Review</v>
      </c>
      <c r="S8" s="112" t="str">
        <f>IF(R8="Inflexibility: Appears okay", "Your child’s flexibility with changes or routines seems to be within typical limits. That’s a helpful strength.", "Your answers suggest your child might be having difficulty with flexibility or adapting to change. This can be common and worth keeping an eye on — we’re here to support if needed.")</f>
        <v>Your answers suggest your child might be having difficulty with flexibility or adapting to change. This can be common and worth keeping an eye on — we’re here to support if needed.</v>
      </c>
    </row>
    <row r="9" spans="1:19" ht="171.75" customHeight="1">
      <c r="A9" s="29" t="s">
        <v>979</v>
      </c>
      <c r="B9" s="29" t="s">
        <v>924</v>
      </c>
      <c r="C9" s="112"/>
      <c r="D9" s="112"/>
      <c r="E9" s="112">
        <v>2</v>
      </c>
      <c r="F9" s="112"/>
      <c r="G9" s="112"/>
      <c r="H9" s="112">
        <f t="shared" si="0"/>
        <v>2</v>
      </c>
      <c r="P9" s="98" t="s">
        <v>935</v>
      </c>
      <c r="Q9" s="98">
        <v>4</v>
      </c>
      <c r="R9" s="112" t="str">
        <f>IF(Q9&gt;=3,"Baby Pediatric Symptom Checklist Irritability :  Need Review","Baby Pediatric Symptom Checklist Irritability :  Appears ok")</f>
        <v>Baby Pediatric Symptom Checklist Irritability :  Need Review</v>
      </c>
      <c r="S9" s="112" t="str">
        <f>IF(R9="Baby Pediatric Symptom Checklist Irritability :  Appears ok", "Your child’s level of irritability is within the typical range for their age. No concerns here.", "Your responses suggest your child may be showing signs of increased irritability. It could be helpful to explore what might be causing this and whether additional support is needed.")</f>
        <v>Your responses suggest your child may be showing signs of increased irritability. It could be helpful to explore what might be causing this and whether additional support is needed.</v>
      </c>
    </row>
    <row r="10" spans="1:19" ht="91.5" customHeight="1">
      <c r="A10" t="s">
        <v>980</v>
      </c>
      <c r="B10" s="29" t="s">
        <v>924</v>
      </c>
      <c r="C10" s="112"/>
      <c r="D10" s="112"/>
      <c r="E10" s="112">
        <v>2</v>
      </c>
      <c r="F10" s="112"/>
      <c r="G10" s="112"/>
      <c r="H10" s="112">
        <f t="shared" si="0"/>
        <v>2</v>
      </c>
      <c r="P10" s="98" t="s">
        <v>937</v>
      </c>
      <c r="Q10" s="98">
        <v>8</v>
      </c>
      <c r="R10" s="112" t="str">
        <f>IF(Q10&gt;=3,"Baby Pediatric Symptom Checklist Routine  : Need Review","Baby Pediatric Symptom Checklist Routine : Appears ok")</f>
        <v>Baby Pediatric Symptom Checklist Routine  : Need Review</v>
      </c>
      <c r="S10" s="112" t="str">
        <f>IF(R10="Routines: Appears okay", "Your child’s ability to manage or cope with daily routines looks to be on track for their age.", "There may be some challenges in how your child handles daily routines. This is something we can look into more closely and support as needed.")</f>
        <v>There may be some challenges in how your child handles daily routines. This is something we can look into more closely and support as needed.</v>
      </c>
    </row>
    <row r="11" spans="1:19">
      <c r="A11" t="s">
        <v>981</v>
      </c>
      <c r="B11" s="29" t="s">
        <v>924</v>
      </c>
      <c r="C11" s="112"/>
      <c r="D11" s="112"/>
      <c r="E11" s="112">
        <v>2</v>
      </c>
      <c r="F11" s="112"/>
      <c r="G11" s="112"/>
      <c r="H11" s="112">
        <f t="shared" si="0"/>
        <v>2</v>
      </c>
      <c r="P11" s="98" t="s">
        <v>924</v>
      </c>
      <c r="Q11" s="98">
        <v>10</v>
      </c>
      <c r="R11" s="112"/>
    </row>
    <row r="12" spans="1:19" ht="30.75">
      <c r="A12" s="29" t="s">
        <v>982</v>
      </c>
      <c r="B12" s="29" t="s">
        <v>924</v>
      </c>
      <c r="C12" s="112"/>
      <c r="D12" s="112">
        <v>1</v>
      </c>
      <c r="E12" s="112"/>
      <c r="F12" s="112"/>
      <c r="G12" s="112"/>
      <c r="H12" s="112">
        <f t="shared" si="0"/>
        <v>1</v>
      </c>
      <c r="P12" s="98" t="s">
        <v>947</v>
      </c>
      <c r="Q12" s="98">
        <v>5</v>
      </c>
      <c r="R12" s="112" t="str">
        <f>IF(Q12&gt;3,"Family Depression : Yes","Family Depression : No")</f>
        <v>Family Depression : Yes</v>
      </c>
    </row>
    <row r="13" spans="1:19" ht="30.75">
      <c r="A13" s="141" t="s">
        <v>938</v>
      </c>
      <c r="B13" s="115" t="s">
        <v>933</v>
      </c>
      <c r="C13" s="112"/>
      <c r="D13" s="112">
        <v>1</v>
      </c>
      <c r="E13" s="112"/>
      <c r="F13" s="112"/>
      <c r="G13" s="112"/>
      <c r="H13" s="112">
        <f t="shared" si="0"/>
        <v>1</v>
      </c>
      <c r="P13" s="98" t="s">
        <v>940</v>
      </c>
      <c r="Q13" s="98">
        <v>1</v>
      </c>
      <c r="R13" s="112" t="str">
        <f>IF(Q13&gt;=1,"Family Disorder : Yes","Family Disorder : NO")</f>
        <v>Family Disorder : Yes</v>
      </c>
    </row>
    <row r="14" spans="1:19" ht="30.75">
      <c r="A14" s="141" t="s">
        <v>939</v>
      </c>
      <c r="B14" s="115" t="s">
        <v>933</v>
      </c>
      <c r="C14" s="112"/>
      <c r="D14" s="112">
        <v>1</v>
      </c>
      <c r="E14" s="112"/>
      <c r="F14" s="112"/>
      <c r="G14" s="112"/>
      <c r="H14" s="112">
        <f t="shared" si="0"/>
        <v>1</v>
      </c>
      <c r="P14" s="98" t="s">
        <v>949</v>
      </c>
      <c r="Q14" s="98">
        <v>3</v>
      </c>
      <c r="R14" s="112" t="str">
        <f>IF(Q14&gt;=1,"Family Domestic Violence : Yes","Family Domestic Violence : No")</f>
        <v>Family Domestic Violence : Yes</v>
      </c>
    </row>
    <row r="15" spans="1:19" ht="30.75">
      <c r="A15" s="141" t="s">
        <v>941</v>
      </c>
      <c r="B15" s="115" t="s">
        <v>933</v>
      </c>
      <c r="C15" s="112"/>
      <c r="D15" s="112">
        <v>1</v>
      </c>
      <c r="E15" s="112"/>
      <c r="F15" s="112"/>
      <c r="G15" s="112"/>
      <c r="H15" s="112">
        <f t="shared" si="0"/>
        <v>1</v>
      </c>
      <c r="P15" s="98" t="s">
        <v>945</v>
      </c>
      <c r="Q15" s="98">
        <v>1</v>
      </c>
      <c r="R15" s="112" t="str">
        <f>IF(Q15&gt;=1,"Family Insecurity : Yes","Family Insecurity : No")</f>
        <v>Family Insecurity : Yes</v>
      </c>
    </row>
    <row r="16" spans="1:19" ht="30.75">
      <c r="A16" s="141" t="s">
        <v>943</v>
      </c>
      <c r="B16" s="115" t="s">
        <v>933</v>
      </c>
      <c r="C16" s="112"/>
      <c r="D16" s="112">
        <v>1</v>
      </c>
      <c r="E16" s="112"/>
      <c r="F16" s="112"/>
      <c r="G16" s="112"/>
      <c r="H16" s="112">
        <f t="shared" si="0"/>
        <v>1</v>
      </c>
      <c r="P16" s="98" t="s">
        <v>970</v>
      </c>
      <c r="Q16" s="98">
        <v>1</v>
      </c>
      <c r="R16" s="112" t="str">
        <f>IF(Q16&gt;=1,"Tobacco Consume : Yes","Tobacco Consume : No")</f>
        <v>Tobacco Consume : Yes</v>
      </c>
    </row>
    <row r="17" spans="1:18">
      <c r="A17" s="98" t="s">
        <v>944</v>
      </c>
      <c r="B17" s="187" t="s">
        <v>935</v>
      </c>
      <c r="C17" s="112"/>
      <c r="D17" s="112">
        <v>1</v>
      </c>
      <c r="E17" s="112"/>
      <c r="F17" s="112"/>
      <c r="G17" s="112"/>
      <c r="H17" s="112">
        <f t="shared" si="0"/>
        <v>1</v>
      </c>
      <c r="P17" s="98" t="s">
        <v>346</v>
      </c>
      <c r="Q17" s="98"/>
      <c r="R17" s="112"/>
    </row>
    <row r="18" spans="1:18" ht="30.75">
      <c r="A18" s="112" t="s">
        <v>946</v>
      </c>
      <c r="B18" s="187" t="s">
        <v>935</v>
      </c>
      <c r="C18" s="112"/>
      <c r="D18" s="112">
        <v>1</v>
      </c>
      <c r="E18" s="112"/>
      <c r="F18" s="112"/>
      <c r="G18" s="112"/>
      <c r="H18" s="112">
        <f t="shared" si="0"/>
        <v>1</v>
      </c>
      <c r="P18" t="s">
        <v>347</v>
      </c>
      <c r="Q18">
        <v>37</v>
      </c>
    </row>
    <row r="19" spans="1:18">
      <c r="A19" s="119" t="s">
        <v>948</v>
      </c>
      <c r="B19" s="187" t="s">
        <v>935</v>
      </c>
      <c r="C19" s="112"/>
      <c r="D19" s="112">
        <v>1</v>
      </c>
      <c r="E19" s="112"/>
      <c r="F19" s="112"/>
      <c r="G19" s="112"/>
      <c r="H19" s="112">
        <f t="shared" si="0"/>
        <v>1</v>
      </c>
    </row>
    <row r="20" spans="1:18">
      <c r="A20" s="112" t="s">
        <v>950</v>
      </c>
      <c r="B20" s="200" t="s">
        <v>935</v>
      </c>
      <c r="C20" s="112"/>
      <c r="D20" s="112">
        <v>1</v>
      </c>
      <c r="E20" s="112"/>
      <c r="F20" s="112"/>
      <c r="G20" s="112"/>
      <c r="H20" s="112">
        <f t="shared" si="0"/>
        <v>1</v>
      </c>
    </row>
    <row r="21" spans="1:18" ht="30.75">
      <c r="A21" s="112" t="s">
        <v>951</v>
      </c>
      <c r="B21" s="195" t="s">
        <v>937</v>
      </c>
      <c r="C21" s="112"/>
      <c r="D21" s="112"/>
      <c r="E21" s="112">
        <v>2</v>
      </c>
      <c r="F21" s="112"/>
      <c r="G21" s="112"/>
      <c r="H21" s="112">
        <f t="shared" si="0"/>
        <v>2</v>
      </c>
    </row>
    <row r="22" spans="1:18">
      <c r="A22" s="119" t="s">
        <v>952</v>
      </c>
      <c r="B22" s="196" t="s">
        <v>937</v>
      </c>
      <c r="C22" s="112"/>
      <c r="D22" s="112"/>
      <c r="E22" s="112">
        <v>2</v>
      </c>
      <c r="F22" s="112"/>
      <c r="G22" s="112"/>
      <c r="H22" s="112">
        <f t="shared" si="0"/>
        <v>2</v>
      </c>
    </row>
    <row r="23" spans="1:18" ht="30.75">
      <c r="A23" s="112" t="s">
        <v>954</v>
      </c>
      <c r="B23" s="115" t="s">
        <v>937</v>
      </c>
      <c r="C23" s="112"/>
      <c r="D23" s="112"/>
      <c r="E23" s="112">
        <v>2</v>
      </c>
      <c r="F23" s="112"/>
      <c r="G23" s="112"/>
      <c r="H23" s="112">
        <f t="shared" si="0"/>
        <v>2</v>
      </c>
    </row>
    <row r="24" spans="1:18" ht="30.75">
      <c r="A24" s="112" t="s">
        <v>955</v>
      </c>
      <c r="B24" s="115" t="s">
        <v>937</v>
      </c>
      <c r="C24" s="112"/>
      <c r="D24" s="112"/>
      <c r="E24" s="112">
        <v>2</v>
      </c>
      <c r="F24" s="112"/>
      <c r="G24" s="112"/>
      <c r="H24" s="112">
        <f t="shared" si="0"/>
        <v>2</v>
      </c>
    </row>
    <row r="25" spans="1:18" ht="30.75">
      <c r="A25" s="192" t="s">
        <v>956</v>
      </c>
      <c r="B25" s="201" t="s">
        <v>970</v>
      </c>
      <c r="C25" s="112"/>
      <c r="D25" s="112">
        <v>1</v>
      </c>
      <c r="E25" s="112"/>
      <c r="F25" s="112"/>
      <c r="G25" s="112"/>
      <c r="H25" s="112">
        <f t="shared" si="0"/>
        <v>1</v>
      </c>
    </row>
    <row r="26" spans="1:18" ht="45.75">
      <c r="A26" s="112" t="s">
        <v>957</v>
      </c>
      <c r="B26" s="115" t="s">
        <v>940</v>
      </c>
      <c r="C26" s="112"/>
      <c r="D26" s="112">
        <v>1</v>
      </c>
      <c r="E26" s="112"/>
      <c r="F26" s="112"/>
      <c r="G26" s="112"/>
      <c r="H26" s="112">
        <f t="shared" si="0"/>
        <v>1</v>
      </c>
    </row>
    <row r="27" spans="1:18" ht="45.75">
      <c r="A27" s="112" t="s">
        <v>958</v>
      </c>
      <c r="B27" s="115" t="s">
        <v>940</v>
      </c>
      <c r="C27" s="112">
        <v>0</v>
      </c>
      <c r="D27" s="112"/>
      <c r="E27" s="112"/>
      <c r="F27" s="112"/>
      <c r="G27" s="112"/>
      <c r="H27" s="112">
        <f t="shared" si="0"/>
        <v>0</v>
      </c>
    </row>
    <row r="28" spans="1:18" ht="30.75">
      <c r="A28" s="119" t="s">
        <v>959</v>
      </c>
      <c r="B28" s="143" t="s">
        <v>940</v>
      </c>
      <c r="C28" s="112">
        <v>0</v>
      </c>
      <c r="D28" s="112"/>
      <c r="E28" s="112"/>
      <c r="F28" s="112"/>
      <c r="G28" s="112"/>
      <c r="H28" s="112">
        <f t="shared" si="0"/>
        <v>0</v>
      </c>
    </row>
    <row r="29" spans="1:18" ht="45.75">
      <c r="A29" s="141" t="s">
        <v>960</v>
      </c>
      <c r="B29" s="115" t="s">
        <v>945</v>
      </c>
      <c r="C29" s="112"/>
      <c r="D29" s="112">
        <v>1</v>
      </c>
      <c r="E29" s="112"/>
      <c r="F29" s="112"/>
      <c r="G29" s="112"/>
      <c r="H29" s="112">
        <f t="shared" si="0"/>
        <v>1</v>
      </c>
    </row>
    <row r="30" spans="1:18" ht="30.75">
      <c r="A30" s="141" t="s">
        <v>961</v>
      </c>
      <c r="B30" s="115" t="s">
        <v>947</v>
      </c>
      <c r="C30" s="112"/>
      <c r="D30" s="112"/>
      <c r="E30" s="112"/>
      <c r="F30" s="112">
        <v>3</v>
      </c>
      <c r="G30" s="112"/>
      <c r="H30" s="112">
        <f t="shared" si="0"/>
        <v>3</v>
      </c>
    </row>
    <row r="31" spans="1:18" ht="24" customHeight="1">
      <c r="A31" s="119" t="s">
        <v>962</v>
      </c>
      <c r="B31" s="201" t="s">
        <v>947</v>
      </c>
      <c r="C31" s="112"/>
      <c r="D31" s="112"/>
      <c r="E31" s="112">
        <v>2</v>
      </c>
      <c r="F31" s="112"/>
      <c r="G31" s="112"/>
      <c r="H31" s="112">
        <f t="shared" si="0"/>
        <v>2</v>
      </c>
    </row>
    <row r="32" spans="1:18" ht="30.75">
      <c r="A32" s="112" t="s">
        <v>963</v>
      </c>
      <c r="B32" s="141" t="s">
        <v>949</v>
      </c>
      <c r="C32" s="112"/>
      <c r="D32" s="112"/>
      <c r="E32" s="112">
        <v>2</v>
      </c>
      <c r="F32" s="112"/>
      <c r="G32" s="112"/>
      <c r="H32" s="112">
        <f t="shared" si="0"/>
        <v>2</v>
      </c>
    </row>
    <row r="33" spans="1:8" ht="30.75">
      <c r="A33" s="112" t="s">
        <v>964</v>
      </c>
      <c r="B33" s="141" t="s">
        <v>949</v>
      </c>
      <c r="C33" s="112"/>
      <c r="D33" s="112">
        <v>1</v>
      </c>
      <c r="E33" s="112"/>
      <c r="F33" s="112"/>
      <c r="G33" s="112"/>
      <c r="H33" s="112">
        <f t="shared" si="0"/>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E8726-7AC2-4254-90F0-BA068B94D7D8}">
  <dimension ref="A1:Q32"/>
  <sheetViews>
    <sheetView topLeftCell="F1" workbookViewId="0">
      <selection activeCell="N6" sqref="N6"/>
    </sheetView>
  </sheetViews>
  <sheetFormatPr defaultRowHeight="15"/>
  <cols>
    <col min="1" max="1" width="33" customWidth="1"/>
    <col min="2" max="2" width="27.7109375" customWidth="1"/>
    <col min="3" max="3" width="54.42578125" style="29" customWidth="1"/>
    <col min="4" max="4" width="25.28515625" style="29" customWidth="1"/>
    <col min="5" max="5" width="41.85546875" style="29" customWidth="1"/>
    <col min="6" max="6" width="33.42578125" customWidth="1"/>
    <col min="14" max="14" width="37.140625" style="29" bestFit="1" customWidth="1"/>
    <col min="15" max="15" width="11.42578125" style="29" bestFit="1" customWidth="1"/>
    <col min="16" max="16" width="33.85546875" style="29" customWidth="1"/>
    <col min="17" max="17" width="22.7109375" style="29" customWidth="1"/>
  </cols>
  <sheetData>
    <row r="1" spans="1:17" ht="18">
      <c r="A1" s="294" t="s">
        <v>983</v>
      </c>
      <c r="B1" s="294"/>
      <c r="C1" s="294"/>
    </row>
    <row r="2" spans="1:17" ht="60.75">
      <c r="A2" s="129" t="s">
        <v>81</v>
      </c>
      <c r="B2" s="202" t="s">
        <v>808</v>
      </c>
      <c r="C2" s="193" t="s">
        <v>919</v>
      </c>
      <c r="D2" s="193" t="s">
        <v>920</v>
      </c>
      <c r="E2" s="193" t="s">
        <v>921</v>
      </c>
      <c r="F2" s="202" t="s">
        <v>678</v>
      </c>
      <c r="G2" s="203" t="s">
        <v>237</v>
      </c>
      <c r="H2" s="137" t="s">
        <v>464</v>
      </c>
    </row>
    <row r="3" spans="1:17">
      <c r="A3" s="98" t="s">
        <v>974</v>
      </c>
      <c r="B3" s="141" t="s">
        <v>924</v>
      </c>
      <c r="C3" s="112"/>
      <c r="D3" s="112">
        <v>1</v>
      </c>
      <c r="E3" s="112"/>
      <c r="F3" s="98"/>
      <c r="G3" s="115"/>
      <c r="H3" s="98">
        <f>SUM(C3:G3)</f>
        <v>1</v>
      </c>
    </row>
    <row r="4" spans="1:17">
      <c r="A4" s="98" t="s">
        <v>975</v>
      </c>
      <c r="B4" s="141" t="s">
        <v>924</v>
      </c>
      <c r="C4" s="112"/>
      <c r="D4" s="112">
        <v>1</v>
      </c>
      <c r="E4" s="112"/>
      <c r="F4" s="98"/>
      <c r="G4" s="115"/>
      <c r="H4" s="98">
        <f t="shared" ref="H4:H32" si="0">SUM(C4:G4)</f>
        <v>1</v>
      </c>
    </row>
    <row r="5" spans="1:17" ht="30.75">
      <c r="A5" s="112" t="s">
        <v>977</v>
      </c>
      <c r="B5" s="141" t="s">
        <v>924</v>
      </c>
      <c r="C5" s="112"/>
      <c r="D5" s="112">
        <v>1</v>
      </c>
      <c r="E5" s="112"/>
      <c r="F5" s="98"/>
      <c r="G5" s="115"/>
      <c r="H5" s="98">
        <f t="shared" si="0"/>
        <v>1</v>
      </c>
    </row>
    <row r="6" spans="1:17" ht="30.75">
      <c r="A6" s="112" t="s">
        <v>978</v>
      </c>
      <c r="B6" s="141" t="s">
        <v>924</v>
      </c>
      <c r="C6" s="112"/>
      <c r="D6" s="112">
        <v>1</v>
      </c>
      <c r="E6" s="112"/>
      <c r="F6" s="98"/>
      <c r="G6" s="115"/>
      <c r="H6" s="98">
        <f t="shared" si="0"/>
        <v>1</v>
      </c>
      <c r="N6" s="204" t="s">
        <v>808</v>
      </c>
      <c r="O6" s="29" t="s">
        <v>953</v>
      </c>
    </row>
    <row r="7" spans="1:17" ht="15" customHeight="1">
      <c r="A7" s="112" t="s">
        <v>979</v>
      </c>
      <c r="B7" s="141" t="s">
        <v>924</v>
      </c>
      <c r="C7" s="112"/>
      <c r="D7" s="112">
        <v>1</v>
      </c>
      <c r="E7" s="112"/>
      <c r="F7" s="98"/>
      <c r="G7" s="115"/>
      <c r="H7" s="98">
        <f t="shared" si="0"/>
        <v>1</v>
      </c>
      <c r="N7" s="112" t="s">
        <v>933</v>
      </c>
      <c r="O7" s="112">
        <v>8</v>
      </c>
      <c r="P7" s="197" t="str">
        <f>IF(O7&gt;=3,"Baby Pediatric Symptom Checklist Inflexibility : Need Review","Baby Pediatric Symptom Checklist Inflexibility : Appears ok")</f>
        <v>Baby Pediatric Symptom Checklist Inflexibility : Need Review</v>
      </c>
      <c r="Q7" s="112" t="str">
        <f>IF(P7="Inflexibility: Appears okay", "Your child’s flexibility with changes or routines seems to be within typical limits. That’s a helpful strength.", "Your answers suggest your child might be having difficulty with flexibility or adapting to change. This can be common and worth keeping an eye on — we’re here to support if needed.")</f>
        <v>Your answers suggest your child might be having difficulty with flexibility or adapting to change. This can be common and worth keeping an eye on — we’re here to support if needed.</v>
      </c>
    </row>
    <row r="8" spans="1:17" ht="137.25">
      <c r="A8" s="98" t="s">
        <v>980</v>
      </c>
      <c r="B8" s="141" t="s">
        <v>924</v>
      </c>
      <c r="C8" s="112"/>
      <c r="D8" s="112">
        <v>1</v>
      </c>
      <c r="E8" s="112"/>
      <c r="F8" s="98"/>
      <c r="G8" s="115"/>
      <c r="H8" s="98">
        <f t="shared" si="0"/>
        <v>1</v>
      </c>
      <c r="N8" s="112" t="s">
        <v>935</v>
      </c>
      <c r="O8" s="112">
        <v>8</v>
      </c>
      <c r="P8" s="197" t="str">
        <f>IF(O8&gt;=3,"Baby Pediatric Symptom Checklist Irritability :  Need Review","Baby Pediatric Symptom Checklist Irritability :  Appears ok")</f>
        <v>Baby Pediatric Symptom Checklist Irritability :  Need Review</v>
      </c>
      <c r="Q8" s="112" t="str">
        <f>IF(P8="Baby Pediatric Symptom Checklist Irritability :  Appears ok", "Your child’s level of irritability is within the typical range for their age. No concerns here.", "Your responses suggest your child may be showing signs of increased irritability. It could be helpful to explore what might be causing this and whether additional support is needed.")</f>
        <v>Your responses suggest your child may be showing signs of increased irritability. It could be helpful to explore what might be causing this and whether additional support is needed.</v>
      </c>
    </row>
    <row r="9" spans="1:17" ht="106.5">
      <c r="A9" s="98" t="s">
        <v>981</v>
      </c>
      <c r="B9" s="141" t="s">
        <v>924</v>
      </c>
      <c r="C9" s="112"/>
      <c r="D9" s="112">
        <v>1</v>
      </c>
      <c r="E9" s="112"/>
      <c r="F9" s="98"/>
      <c r="G9" s="115"/>
      <c r="H9" s="98">
        <f t="shared" si="0"/>
        <v>1</v>
      </c>
      <c r="N9" s="112" t="s">
        <v>937</v>
      </c>
      <c r="O9" s="112">
        <v>7</v>
      </c>
      <c r="P9" s="197" t="str">
        <f>IF(O9&gt;=3,"Baby Pediatric Symptom Checklist Routine  : Need Review","Baby Pediatric Symptom Checklist Routine : Appears ok")</f>
        <v>Baby Pediatric Symptom Checklist Routine  : Need Review</v>
      </c>
      <c r="Q9" s="112" t="str">
        <f>IF(P9="Routines: Appears okay", "Your child’s ability to manage or cope with daily routines looks to be on track for their age.", "There may be some challenges in how your child handles daily routines. This is something we can look into more closely and support as needed.")</f>
        <v>There may be some challenges in how your child handles daily routines. This is something we can look into more closely and support as needed.</v>
      </c>
    </row>
    <row r="10" spans="1:17" ht="30.75">
      <c r="A10" s="112" t="s">
        <v>982</v>
      </c>
      <c r="B10" s="141" t="s">
        <v>924</v>
      </c>
      <c r="C10" s="112"/>
      <c r="D10" s="112"/>
      <c r="E10" s="112">
        <v>2</v>
      </c>
      <c r="F10" s="98"/>
      <c r="G10" s="115"/>
      <c r="H10" s="98">
        <f t="shared" si="0"/>
        <v>2</v>
      </c>
      <c r="N10" s="112" t="s">
        <v>924</v>
      </c>
      <c r="O10" s="112">
        <v>10</v>
      </c>
      <c r="P10" s="205"/>
    </row>
    <row r="11" spans="1:17">
      <c r="A11" s="98" t="s">
        <v>984</v>
      </c>
      <c r="B11" s="141" t="s">
        <v>924</v>
      </c>
      <c r="C11" s="112"/>
      <c r="D11" s="112">
        <v>1</v>
      </c>
      <c r="E11" s="112"/>
      <c r="F11" s="98"/>
      <c r="G11" s="115"/>
      <c r="H11" s="98">
        <f t="shared" si="0"/>
        <v>1</v>
      </c>
      <c r="N11" s="112" t="s">
        <v>947</v>
      </c>
      <c r="O11" s="112">
        <v>6</v>
      </c>
      <c r="P11" s="197" t="str">
        <f>IF(O11&gt;3,"Family Depression : Yes","Family Depression : No")</f>
        <v>Family Depression : Yes</v>
      </c>
    </row>
    <row r="12" spans="1:17" ht="30.75">
      <c r="A12" s="141" t="s">
        <v>938</v>
      </c>
      <c r="B12" s="115" t="s">
        <v>933</v>
      </c>
      <c r="C12" s="112"/>
      <c r="D12" s="112"/>
      <c r="E12" s="112">
        <v>2</v>
      </c>
      <c r="F12" s="98"/>
      <c r="G12" s="115"/>
      <c r="H12" s="98">
        <f t="shared" si="0"/>
        <v>2</v>
      </c>
      <c r="N12" s="112" t="s">
        <v>940</v>
      </c>
      <c r="O12" s="112">
        <v>1</v>
      </c>
      <c r="P12" s="205" t="str">
        <f>IF(O12&gt;=1,"Family Disorder : Yes","Family Disorder : NO")</f>
        <v>Family Disorder : Yes</v>
      </c>
    </row>
    <row r="13" spans="1:17" ht="30.75">
      <c r="A13" s="141" t="s">
        <v>939</v>
      </c>
      <c r="B13" s="115" t="s">
        <v>933</v>
      </c>
      <c r="C13" s="112"/>
      <c r="D13" s="112"/>
      <c r="E13" s="112">
        <v>2</v>
      </c>
      <c r="F13" s="98"/>
      <c r="G13" s="115"/>
      <c r="H13" s="98">
        <f t="shared" si="0"/>
        <v>2</v>
      </c>
      <c r="N13" s="112" t="s">
        <v>949</v>
      </c>
      <c r="O13" s="112">
        <v>4</v>
      </c>
      <c r="P13" s="197" t="str">
        <f>IF(O13&gt;=1,"Family Domestic Violence : Yes","Family Domestic Violence : No")</f>
        <v>Family Domestic Violence : Yes</v>
      </c>
    </row>
    <row r="14" spans="1:17" ht="30.75">
      <c r="A14" s="141" t="s">
        <v>941</v>
      </c>
      <c r="B14" s="115" t="s">
        <v>933</v>
      </c>
      <c r="C14" s="112"/>
      <c r="D14" s="112"/>
      <c r="E14" s="112">
        <v>2</v>
      </c>
      <c r="F14" s="98"/>
      <c r="G14" s="115"/>
      <c r="H14" s="98">
        <f t="shared" si="0"/>
        <v>2</v>
      </c>
      <c r="N14" s="112" t="s">
        <v>945</v>
      </c>
      <c r="O14" s="112">
        <v>2</v>
      </c>
      <c r="P14" s="206" t="str">
        <f>IF(O14&gt;=1,"Family Insecurity : Yes","Family Insecurity : No")</f>
        <v>Family Insecurity : Yes</v>
      </c>
    </row>
    <row r="15" spans="1:17" ht="30.75">
      <c r="A15" s="141" t="s">
        <v>943</v>
      </c>
      <c r="B15" s="115" t="s">
        <v>933</v>
      </c>
      <c r="C15" s="112"/>
      <c r="D15" s="112"/>
      <c r="E15" s="112">
        <v>2</v>
      </c>
      <c r="F15" s="98"/>
      <c r="G15" s="115"/>
      <c r="H15" s="98">
        <f t="shared" si="0"/>
        <v>2</v>
      </c>
      <c r="N15" s="112" t="s">
        <v>970</v>
      </c>
      <c r="O15" s="112">
        <v>0</v>
      </c>
      <c r="P15" s="197" t="str">
        <f>IF(O15&gt;=1,"Tobacco Consume : Yes","Tobacco Consume : No")</f>
        <v>Tobacco Consume : No</v>
      </c>
    </row>
    <row r="16" spans="1:17">
      <c r="A16" s="98" t="s">
        <v>944</v>
      </c>
      <c r="B16" s="187" t="s">
        <v>935</v>
      </c>
      <c r="C16" s="112"/>
      <c r="D16" s="112"/>
      <c r="E16" s="112">
        <v>2</v>
      </c>
      <c r="F16" s="98"/>
      <c r="G16" s="115"/>
      <c r="H16" s="98">
        <f t="shared" si="0"/>
        <v>2</v>
      </c>
      <c r="N16" s="29" t="s">
        <v>346</v>
      </c>
    </row>
    <row r="17" spans="1:15" ht="30.75">
      <c r="A17" s="112" t="s">
        <v>946</v>
      </c>
      <c r="B17" s="187" t="s">
        <v>935</v>
      </c>
      <c r="C17" s="112"/>
      <c r="D17" s="112"/>
      <c r="E17" s="112">
        <v>2</v>
      </c>
      <c r="F17" s="98"/>
      <c r="G17" s="115"/>
      <c r="H17" s="98">
        <f t="shared" si="0"/>
        <v>2</v>
      </c>
      <c r="N17" s="29" t="s">
        <v>347</v>
      </c>
      <c r="O17" s="29">
        <v>46</v>
      </c>
    </row>
    <row r="18" spans="1:15">
      <c r="A18" s="119" t="s">
        <v>948</v>
      </c>
      <c r="B18" s="187" t="s">
        <v>935</v>
      </c>
      <c r="C18" s="112"/>
      <c r="D18" s="112"/>
      <c r="E18" s="112">
        <v>2</v>
      </c>
      <c r="F18" s="98"/>
      <c r="G18" s="115"/>
      <c r="H18" s="98">
        <f t="shared" si="0"/>
        <v>2</v>
      </c>
    </row>
    <row r="19" spans="1:15">
      <c r="A19" s="112" t="s">
        <v>950</v>
      </c>
      <c r="B19" s="200" t="s">
        <v>935</v>
      </c>
      <c r="C19" s="112"/>
      <c r="D19" s="112"/>
      <c r="E19" s="112">
        <v>2</v>
      </c>
      <c r="F19" s="98"/>
      <c r="G19" s="115"/>
      <c r="H19" s="98">
        <f t="shared" si="0"/>
        <v>2</v>
      </c>
    </row>
    <row r="20" spans="1:15" ht="30.75">
      <c r="A20" s="112" t="s">
        <v>951</v>
      </c>
      <c r="B20" s="195" t="s">
        <v>937</v>
      </c>
      <c r="C20" s="112"/>
      <c r="D20" s="112"/>
      <c r="E20" s="112">
        <v>2</v>
      </c>
      <c r="F20" s="98"/>
      <c r="G20" s="115"/>
      <c r="H20" s="98">
        <f t="shared" si="0"/>
        <v>2</v>
      </c>
    </row>
    <row r="21" spans="1:15">
      <c r="A21" s="119" t="s">
        <v>952</v>
      </c>
      <c r="B21" s="196" t="s">
        <v>937</v>
      </c>
      <c r="C21" s="112"/>
      <c r="D21" s="112"/>
      <c r="E21" s="112">
        <v>2</v>
      </c>
      <c r="F21" s="98"/>
      <c r="G21" s="115"/>
      <c r="H21" s="98">
        <f t="shared" si="0"/>
        <v>2</v>
      </c>
    </row>
    <row r="22" spans="1:15" ht="30.75">
      <c r="A22" s="112" t="s">
        <v>954</v>
      </c>
      <c r="B22" s="115" t="s">
        <v>937</v>
      </c>
      <c r="C22" s="112"/>
      <c r="D22" s="112"/>
      <c r="E22" s="112">
        <v>2</v>
      </c>
      <c r="F22" s="98"/>
      <c r="G22" s="115"/>
      <c r="H22" s="98">
        <f t="shared" si="0"/>
        <v>2</v>
      </c>
    </row>
    <row r="23" spans="1:15" ht="30.75">
      <c r="A23" s="112" t="s">
        <v>955</v>
      </c>
      <c r="B23" s="115" t="s">
        <v>937</v>
      </c>
      <c r="C23" s="112"/>
      <c r="D23" s="112">
        <v>1</v>
      </c>
      <c r="E23" s="112"/>
      <c r="F23" s="98"/>
      <c r="G23" s="115"/>
      <c r="H23" s="98">
        <f t="shared" si="0"/>
        <v>1</v>
      </c>
    </row>
    <row r="24" spans="1:15" ht="30.75">
      <c r="A24" s="192" t="s">
        <v>956</v>
      </c>
      <c r="B24" s="201" t="s">
        <v>970</v>
      </c>
      <c r="C24" s="112">
        <v>0</v>
      </c>
      <c r="D24" s="112"/>
      <c r="E24" s="112"/>
      <c r="F24" s="98"/>
      <c r="G24" s="115"/>
      <c r="H24" s="98">
        <f t="shared" si="0"/>
        <v>0</v>
      </c>
    </row>
    <row r="25" spans="1:15" ht="45.75">
      <c r="A25" s="112" t="s">
        <v>957</v>
      </c>
      <c r="B25" s="115" t="s">
        <v>940</v>
      </c>
      <c r="C25" s="112">
        <v>0</v>
      </c>
      <c r="D25" s="112"/>
      <c r="E25" s="112"/>
      <c r="F25" s="98"/>
      <c r="G25" s="115"/>
      <c r="H25" s="98">
        <f t="shared" si="0"/>
        <v>0</v>
      </c>
    </row>
    <row r="26" spans="1:15" ht="45.75">
      <c r="A26" s="112" t="s">
        <v>958</v>
      </c>
      <c r="B26" s="115" t="s">
        <v>940</v>
      </c>
      <c r="C26" s="112"/>
      <c r="D26" s="112">
        <v>1</v>
      </c>
      <c r="E26" s="112"/>
      <c r="F26" s="98"/>
      <c r="G26" s="115"/>
      <c r="H26" s="98">
        <f t="shared" si="0"/>
        <v>1</v>
      </c>
    </row>
    <row r="27" spans="1:15" ht="45.75">
      <c r="A27" s="119" t="s">
        <v>959</v>
      </c>
      <c r="B27" s="143" t="s">
        <v>940</v>
      </c>
      <c r="C27" s="112">
        <v>0</v>
      </c>
      <c r="D27" s="112"/>
      <c r="E27" s="112"/>
      <c r="F27" s="98"/>
      <c r="G27" s="115"/>
      <c r="H27" s="98">
        <f t="shared" si="0"/>
        <v>0</v>
      </c>
    </row>
    <row r="28" spans="1:15" ht="60.75">
      <c r="A28" s="112" t="s">
        <v>960</v>
      </c>
      <c r="B28" s="115" t="s">
        <v>945</v>
      </c>
      <c r="C28" s="112"/>
      <c r="D28" s="112"/>
      <c r="E28" s="112">
        <v>2</v>
      </c>
      <c r="F28" s="98"/>
      <c r="G28" s="115"/>
      <c r="H28" s="98">
        <f t="shared" si="0"/>
        <v>2</v>
      </c>
    </row>
    <row r="29" spans="1:15" ht="30.75">
      <c r="A29" s="112" t="s">
        <v>961</v>
      </c>
      <c r="B29" s="115" t="s">
        <v>947</v>
      </c>
      <c r="C29" s="112"/>
      <c r="D29" s="112"/>
      <c r="E29" s="112"/>
      <c r="F29" s="98">
        <v>3</v>
      </c>
      <c r="G29" s="115"/>
      <c r="H29" s="98">
        <f t="shared" si="0"/>
        <v>3</v>
      </c>
    </row>
    <row r="30" spans="1:15" ht="30.75">
      <c r="A30" s="112" t="s">
        <v>962</v>
      </c>
      <c r="B30" s="115" t="s">
        <v>947</v>
      </c>
      <c r="C30" s="112"/>
      <c r="D30" s="112"/>
      <c r="E30" s="112"/>
      <c r="F30" s="98">
        <v>3</v>
      </c>
      <c r="G30" s="115"/>
      <c r="H30" s="98">
        <f t="shared" si="0"/>
        <v>3</v>
      </c>
    </row>
    <row r="31" spans="1:15" ht="45.75">
      <c r="A31" s="112" t="s">
        <v>963</v>
      </c>
      <c r="B31" s="141" t="s">
        <v>949</v>
      </c>
      <c r="C31" s="112"/>
      <c r="D31" s="112"/>
      <c r="E31" s="112"/>
      <c r="F31" s="98"/>
      <c r="G31" s="115" t="s">
        <v>216</v>
      </c>
      <c r="H31" s="98" cm="1">
        <f t="array" ref="H31">COUNT(C31:F32&gt;0,0,1)</f>
        <v>2</v>
      </c>
    </row>
    <row r="32" spans="1:15" ht="30.75">
      <c r="A32" s="112" t="s">
        <v>964</v>
      </c>
      <c r="B32" s="141" t="s">
        <v>949</v>
      </c>
      <c r="C32" s="112"/>
      <c r="D32" s="112"/>
      <c r="E32" s="112"/>
      <c r="F32" s="98"/>
      <c r="G32" s="115" t="s">
        <v>216</v>
      </c>
      <c r="H32" s="98" cm="1">
        <f t="array" ref="H32">COUNT(C32:F33&gt;0,0,1)</f>
        <v>2</v>
      </c>
    </row>
  </sheetData>
  <mergeCells count="1">
    <mergeCell ref="A1:C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4F0ED-14EA-46E0-8B0D-58C0B2413569}">
  <dimension ref="A1:R32"/>
  <sheetViews>
    <sheetView topLeftCell="I6" workbookViewId="0">
      <selection activeCell="R6" sqref="R6"/>
    </sheetView>
  </sheetViews>
  <sheetFormatPr defaultRowHeight="15"/>
  <cols>
    <col min="1" max="1" width="15.85546875" style="29" customWidth="1"/>
    <col min="2" max="2" width="32.5703125" style="29" customWidth="1"/>
    <col min="3" max="3" width="47.28515625" customWidth="1"/>
    <col min="4" max="4" width="25.42578125" customWidth="1"/>
    <col min="5" max="5" width="19.85546875" customWidth="1"/>
    <col min="6" max="6" width="18.7109375" customWidth="1"/>
    <col min="7" max="7" width="18.42578125" customWidth="1"/>
    <col min="15" max="15" width="38.42578125" bestFit="1" customWidth="1"/>
    <col min="16" max="16" width="11.7109375" bestFit="1" customWidth="1"/>
    <col min="17" max="17" width="32.7109375" style="29" customWidth="1"/>
    <col min="18" max="18" width="21.85546875" customWidth="1"/>
  </cols>
  <sheetData>
    <row r="1" spans="1:18" ht="18">
      <c r="A1" s="294" t="s">
        <v>985</v>
      </c>
      <c r="B1" s="294"/>
      <c r="C1" s="294"/>
      <c r="D1" s="29"/>
      <c r="E1" s="29"/>
      <c r="N1" s="29"/>
      <c r="O1" s="29"/>
      <c r="P1" s="29"/>
    </row>
    <row r="2" spans="1:18" ht="92.25" customHeight="1">
      <c r="A2" s="126" t="s">
        <v>81</v>
      </c>
      <c r="B2" s="193" t="s">
        <v>808</v>
      </c>
      <c r="C2" s="193" t="s">
        <v>919</v>
      </c>
      <c r="D2" s="193" t="s">
        <v>920</v>
      </c>
      <c r="E2" s="193" t="s">
        <v>921</v>
      </c>
      <c r="F2" s="202" t="s">
        <v>678</v>
      </c>
      <c r="G2" s="203" t="s">
        <v>237</v>
      </c>
      <c r="H2" s="202" t="s">
        <v>464</v>
      </c>
      <c r="N2" s="29"/>
      <c r="O2" s="29"/>
      <c r="P2" s="29"/>
    </row>
    <row r="3" spans="1:18" ht="88.5" customHeight="1">
      <c r="A3" s="207" t="s">
        <v>978</v>
      </c>
      <c r="B3" s="193"/>
      <c r="C3" s="193">
        <v>0</v>
      </c>
      <c r="D3" s="193"/>
      <c r="E3" s="193"/>
      <c r="F3" s="202"/>
      <c r="G3" s="203"/>
      <c r="H3" s="202">
        <f>SUM(B3:G3)</f>
        <v>0</v>
      </c>
      <c r="N3" s="29"/>
      <c r="O3" s="55" t="s">
        <v>808</v>
      </c>
      <c r="P3" t="s">
        <v>953</v>
      </c>
    </row>
    <row r="4" spans="1:18" ht="145.5" customHeight="1">
      <c r="A4" s="112" t="s">
        <v>979</v>
      </c>
      <c r="B4" s="112" t="s">
        <v>924</v>
      </c>
      <c r="C4" s="98">
        <v>0</v>
      </c>
      <c r="D4" s="98"/>
      <c r="E4" s="98"/>
      <c r="F4" s="98"/>
      <c r="G4" s="98"/>
      <c r="H4" s="202">
        <f t="shared" ref="H4:H32" si="0">SUM(B4:G4)</f>
        <v>0</v>
      </c>
      <c r="O4" s="98" t="s">
        <v>933</v>
      </c>
      <c r="P4" s="98">
        <v>4</v>
      </c>
      <c r="Q4" s="112" t="str">
        <f>IF(P4&gt;=3,"Baby Pediatric Symptom Checklist Inflexibility : Need Review","Baby Pediatric Symptom Checklist Inflexibility : Appears ok")</f>
        <v>Baby Pediatric Symptom Checklist Inflexibility : Need Review</v>
      </c>
      <c r="R4" s="112" t="str">
        <f>IF(Q4="Inflexibility: Appears okay", "Your child’s flexibility with changes or routines seems to be within typical limits. That’s a helpful strength.", "Your answers suggest your child might be having difficulty with flexibility or adapting to change. This can be common and worth keeping an eye on — we’re here to support if needed.")</f>
        <v>Your answers suggest your child might be having difficulty with flexibility or adapting to change. This can be common and worth keeping an eye on — we’re here to support if needed.</v>
      </c>
    </row>
    <row r="5" spans="1:18" ht="65.25" customHeight="1">
      <c r="A5" s="112" t="s">
        <v>980</v>
      </c>
      <c r="B5" s="112" t="s">
        <v>924</v>
      </c>
      <c r="C5" s="98">
        <v>0</v>
      </c>
      <c r="D5" s="98"/>
      <c r="E5" s="98">
        <v>2</v>
      </c>
      <c r="F5" s="98"/>
      <c r="G5" s="98"/>
      <c r="H5" s="202">
        <f t="shared" si="0"/>
        <v>2</v>
      </c>
      <c r="O5" s="98" t="s">
        <v>935</v>
      </c>
      <c r="P5" s="98">
        <v>0</v>
      </c>
      <c r="Q5" s="112" t="str">
        <f>IF(P5&gt;=3,"Baby Pediatric Symptom Checklist Irritability :  Need Review","Baby Pediatric Symptom Checklist Irritability :  Appears ok")</f>
        <v>Baby Pediatric Symptom Checklist Irritability :  Appears ok</v>
      </c>
      <c r="R5" s="112" t="str">
        <f>IF(Q5="Baby Pediatric Symptom Checklist Irritability :  Appears ok", "Your child’s level of irritability is within the typical range for their age. No concerns here.", "Your responses suggest your child may be showing signs of increased irritability. It could be helpful to explore what might be causing this and whether additional support is needed.")</f>
        <v>Your child’s level of irritability is within the typical range for their age. No concerns here.</v>
      </c>
    </row>
    <row r="6" spans="1:18" ht="135.75" customHeight="1">
      <c r="A6" s="112" t="s">
        <v>981</v>
      </c>
      <c r="B6" s="112" t="s">
        <v>924</v>
      </c>
      <c r="C6" s="98"/>
      <c r="D6" s="98"/>
      <c r="E6" s="98">
        <v>2</v>
      </c>
      <c r="F6" s="98"/>
      <c r="G6" s="98"/>
      <c r="H6" s="202">
        <f t="shared" si="0"/>
        <v>2</v>
      </c>
      <c r="O6" s="98" t="s">
        <v>937</v>
      </c>
      <c r="P6" s="98">
        <v>8</v>
      </c>
      <c r="Q6" s="112" t="str">
        <f>IF(P6&gt;=3,"Baby Pediatric Symptom Checklist Routine  : Need Review","Baby Pediatric Symptom Checklist Routine : Appears ok")</f>
        <v>Baby Pediatric Symptom Checklist Routine  : Need Review</v>
      </c>
      <c r="R6" s="112" t="str">
        <f>IF(Q6="Routines: Appears okay", "Your child’s ability to manage or cope with daily routines looks to be on track for their age..", "There may be some challenges in how your child handles daily routines. This is something we can look into more closely and support as needed.")</f>
        <v>There may be some challenges in how your child handles daily routines. This is something we can look into more closely and support as needed.</v>
      </c>
    </row>
    <row r="7" spans="1:18" ht="60.75">
      <c r="A7" s="112" t="s">
        <v>982</v>
      </c>
      <c r="B7" s="112" t="s">
        <v>924</v>
      </c>
      <c r="C7" s="98"/>
      <c r="D7" s="98"/>
      <c r="E7" s="98">
        <v>2</v>
      </c>
      <c r="F7" s="98"/>
      <c r="G7" s="98"/>
      <c r="H7" s="202">
        <f t="shared" si="0"/>
        <v>2</v>
      </c>
      <c r="O7" s="98" t="s">
        <v>924</v>
      </c>
      <c r="P7" s="98">
        <v>16</v>
      </c>
      <c r="Q7" s="112"/>
    </row>
    <row r="8" spans="1:18" ht="30.75">
      <c r="A8" s="112" t="s">
        <v>984</v>
      </c>
      <c r="B8" s="112" t="s">
        <v>924</v>
      </c>
      <c r="C8" s="98"/>
      <c r="D8" s="98"/>
      <c r="E8" s="98">
        <v>2</v>
      </c>
      <c r="F8" s="98"/>
      <c r="G8" s="98"/>
      <c r="H8" s="202">
        <f t="shared" si="0"/>
        <v>2</v>
      </c>
      <c r="O8" s="98" t="s">
        <v>947</v>
      </c>
      <c r="P8" s="98">
        <v>3</v>
      </c>
      <c r="Q8" s="112" t="str">
        <f>IF(P8&gt;3,"Family Depression : Yes","Family Depression : No")</f>
        <v>Family Depression : No</v>
      </c>
    </row>
    <row r="9" spans="1:18" ht="30.75">
      <c r="A9" s="112" t="s">
        <v>986</v>
      </c>
      <c r="B9" s="112" t="s">
        <v>924</v>
      </c>
      <c r="C9" s="98"/>
      <c r="D9" s="98"/>
      <c r="E9" s="98">
        <v>2</v>
      </c>
      <c r="F9" s="98"/>
      <c r="G9" s="98"/>
      <c r="H9" s="202">
        <f t="shared" si="0"/>
        <v>2</v>
      </c>
      <c r="O9" s="98" t="s">
        <v>940</v>
      </c>
      <c r="P9" s="98">
        <v>2</v>
      </c>
      <c r="Q9" s="112" t="str">
        <f>IF(P9&gt;=1,"Family Disorder : Yes","Family Disorder : NO")</f>
        <v>Family Disorder : Yes</v>
      </c>
    </row>
    <row r="10" spans="1:18" ht="30.75">
      <c r="A10" s="112" t="s">
        <v>987</v>
      </c>
      <c r="B10" s="112" t="s">
        <v>924</v>
      </c>
      <c r="C10" s="98"/>
      <c r="D10" s="98"/>
      <c r="E10" s="98">
        <v>2</v>
      </c>
      <c r="F10" s="98"/>
      <c r="G10" s="98"/>
      <c r="H10" s="202">
        <f t="shared" si="0"/>
        <v>2</v>
      </c>
      <c r="O10" s="98" t="s">
        <v>949</v>
      </c>
      <c r="P10" s="98">
        <v>3</v>
      </c>
      <c r="Q10" s="112" t="str">
        <f>IF(P10&gt;=1,"Family Domestic Violence : Yes","Family Domestic Violence : No")</f>
        <v>Family Domestic Violence : Yes</v>
      </c>
    </row>
    <row r="11" spans="1:18" ht="45.75">
      <c r="A11" s="112" t="s">
        <v>988</v>
      </c>
      <c r="B11" s="112" t="s">
        <v>924</v>
      </c>
      <c r="C11" s="98"/>
      <c r="D11" s="98"/>
      <c r="E11" s="98">
        <v>2</v>
      </c>
      <c r="F11" s="98"/>
      <c r="G11" s="98"/>
      <c r="H11" s="202">
        <f t="shared" si="0"/>
        <v>2</v>
      </c>
      <c r="O11" s="98" t="s">
        <v>945</v>
      </c>
      <c r="P11" s="98">
        <v>2</v>
      </c>
      <c r="Q11" s="112" t="str">
        <f>IF(P11&gt;=1,"Family Insecurity : Yes","Family Insecurity : No")</f>
        <v>Family Insecurity : Yes</v>
      </c>
    </row>
    <row r="12" spans="1:18" ht="60.75">
      <c r="A12" s="112" t="s">
        <v>989</v>
      </c>
      <c r="B12" s="112" t="s">
        <v>924</v>
      </c>
      <c r="C12" s="98"/>
      <c r="D12" s="98"/>
      <c r="E12" s="98">
        <v>2</v>
      </c>
      <c r="F12" s="98"/>
      <c r="G12" s="98"/>
      <c r="H12" s="202">
        <f t="shared" si="0"/>
        <v>2</v>
      </c>
      <c r="O12" s="98" t="s">
        <v>970</v>
      </c>
      <c r="P12" s="98">
        <v>1</v>
      </c>
      <c r="Q12" s="112" t="str">
        <f>IF(P12&gt;=1,"Tobacco Consume : Yes","Tobacco Consume : No")</f>
        <v>Tobacco Consume : Yes</v>
      </c>
    </row>
    <row r="13" spans="1:18" ht="60.75">
      <c r="A13" s="112" t="s">
        <v>938</v>
      </c>
      <c r="B13" s="98" t="s">
        <v>933</v>
      </c>
      <c r="C13" s="98"/>
      <c r="D13" s="98">
        <v>1</v>
      </c>
      <c r="E13" s="98"/>
      <c r="F13" s="98"/>
      <c r="G13" s="98"/>
      <c r="H13" s="202">
        <f t="shared" si="0"/>
        <v>1</v>
      </c>
      <c r="O13" s="98" t="s">
        <v>346</v>
      </c>
      <c r="P13" s="98">
        <v>0</v>
      </c>
      <c r="Q13" s="112"/>
    </row>
    <row r="14" spans="1:18" ht="45.75">
      <c r="A14" s="112" t="s">
        <v>939</v>
      </c>
      <c r="B14" s="98" t="s">
        <v>933</v>
      </c>
      <c r="C14" s="98"/>
      <c r="D14" s="98">
        <v>1</v>
      </c>
      <c r="E14" s="98"/>
      <c r="F14" s="98"/>
      <c r="G14" s="98"/>
      <c r="H14" s="202">
        <f t="shared" si="0"/>
        <v>1</v>
      </c>
      <c r="O14" t="s">
        <v>347</v>
      </c>
      <c r="P14">
        <v>39</v>
      </c>
    </row>
    <row r="15" spans="1:18" ht="45.75">
      <c r="A15" s="112" t="s">
        <v>941</v>
      </c>
      <c r="B15" s="98" t="s">
        <v>933</v>
      </c>
      <c r="C15" s="98"/>
      <c r="D15" s="98">
        <v>1</v>
      </c>
      <c r="E15" s="98"/>
      <c r="F15" s="98"/>
      <c r="G15" s="98"/>
      <c r="H15" s="202">
        <f t="shared" si="0"/>
        <v>1</v>
      </c>
    </row>
    <row r="16" spans="1:18" ht="45.75">
      <c r="A16" s="112" t="s">
        <v>943</v>
      </c>
      <c r="B16" s="98" t="s">
        <v>933</v>
      </c>
      <c r="C16" s="98"/>
      <c r="D16" s="98">
        <v>1</v>
      </c>
      <c r="E16" s="98"/>
      <c r="F16" s="98"/>
      <c r="G16" s="98"/>
      <c r="H16" s="202">
        <f t="shared" si="0"/>
        <v>1</v>
      </c>
    </row>
    <row r="17" spans="1:8">
      <c r="A17" s="98" t="s">
        <v>944</v>
      </c>
      <c r="B17" s="98" t="s">
        <v>935</v>
      </c>
      <c r="C17" s="98">
        <v>0</v>
      </c>
      <c r="D17" s="98"/>
      <c r="E17" s="98"/>
      <c r="F17" s="98"/>
      <c r="G17" s="98"/>
      <c r="H17" s="202">
        <f t="shared" si="0"/>
        <v>0</v>
      </c>
    </row>
    <row r="18" spans="1:8" ht="45.75">
      <c r="A18" s="112" t="s">
        <v>946</v>
      </c>
      <c r="B18" s="98" t="s">
        <v>935</v>
      </c>
      <c r="C18" s="98">
        <v>0</v>
      </c>
      <c r="D18" s="98"/>
      <c r="E18" s="98"/>
      <c r="F18" s="98"/>
      <c r="G18" s="98"/>
      <c r="H18" s="202">
        <f t="shared" si="0"/>
        <v>0</v>
      </c>
    </row>
    <row r="19" spans="1:8" ht="30.75">
      <c r="A19" s="112" t="s">
        <v>948</v>
      </c>
      <c r="B19" s="98" t="s">
        <v>935</v>
      </c>
      <c r="C19" s="98">
        <v>0</v>
      </c>
      <c r="D19" s="98"/>
      <c r="E19" s="98"/>
      <c r="F19" s="98"/>
      <c r="G19" s="98"/>
      <c r="H19" s="202">
        <f t="shared" si="0"/>
        <v>0</v>
      </c>
    </row>
    <row r="20" spans="1:8" ht="45.75">
      <c r="A20" s="112" t="s">
        <v>950</v>
      </c>
      <c r="B20" s="98" t="s">
        <v>935</v>
      </c>
      <c r="C20" s="98">
        <v>0</v>
      </c>
      <c r="D20" s="98"/>
      <c r="E20" s="98"/>
      <c r="F20" s="98"/>
      <c r="G20" s="98"/>
      <c r="H20" s="202">
        <f t="shared" si="0"/>
        <v>0</v>
      </c>
    </row>
    <row r="21" spans="1:8" ht="60.75">
      <c r="A21" s="112" t="s">
        <v>951</v>
      </c>
      <c r="B21" s="98" t="s">
        <v>937</v>
      </c>
      <c r="C21" s="98"/>
      <c r="D21" s="98"/>
      <c r="E21" s="98">
        <v>2</v>
      </c>
      <c r="F21" s="98"/>
      <c r="G21" s="98"/>
      <c r="H21" s="202">
        <f t="shared" si="0"/>
        <v>2</v>
      </c>
    </row>
    <row r="22" spans="1:8" ht="45.75">
      <c r="A22" s="112" t="s">
        <v>952</v>
      </c>
      <c r="B22" s="98" t="s">
        <v>937</v>
      </c>
      <c r="C22" s="98"/>
      <c r="D22" s="98"/>
      <c r="E22" s="98">
        <v>2</v>
      </c>
      <c r="F22" s="98"/>
      <c r="G22" s="98"/>
      <c r="H22" s="202">
        <f t="shared" si="0"/>
        <v>2</v>
      </c>
    </row>
    <row r="23" spans="1:8" ht="60.75">
      <c r="A23" s="112" t="s">
        <v>954</v>
      </c>
      <c r="B23" s="98" t="s">
        <v>937</v>
      </c>
      <c r="C23" s="98"/>
      <c r="D23" s="98"/>
      <c r="E23" s="98">
        <v>2</v>
      </c>
      <c r="F23" s="98"/>
      <c r="G23" s="98"/>
      <c r="H23" s="202">
        <f t="shared" si="0"/>
        <v>2</v>
      </c>
    </row>
    <row r="24" spans="1:8" ht="45.75">
      <c r="A24" s="112" t="s">
        <v>955</v>
      </c>
      <c r="B24" s="98" t="s">
        <v>937</v>
      </c>
      <c r="C24" s="98"/>
      <c r="D24" s="98"/>
      <c r="E24" s="98">
        <v>2</v>
      </c>
      <c r="F24" s="98"/>
      <c r="G24" s="98"/>
      <c r="H24" s="202">
        <f t="shared" si="0"/>
        <v>2</v>
      </c>
    </row>
    <row r="25" spans="1:8" ht="60.75">
      <c r="A25" s="112" t="s">
        <v>956</v>
      </c>
      <c r="B25" s="98" t="s">
        <v>970</v>
      </c>
      <c r="C25" s="98"/>
      <c r="D25" s="98">
        <v>1</v>
      </c>
      <c r="E25" s="98"/>
      <c r="F25" s="98"/>
      <c r="G25" s="98"/>
      <c r="H25" s="202">
        <f t="shared" si="0"/>
        <v>1</v>
      </c>
    </row>
    <row r="26" spans="1:8" ht="91.5">
      <c r="A26" s="112" t="s">
        <v>957</v>
      </c>
      <c r="B26" s="98" t="s">
        <v>940</v>
      </c>
      <c r="C26" s="98"/>
      <c r="D26" s="98">
        <v>1</v>
      </c>
      <c r="E26" s="98"/>
      <c r="F26" s="98"/>
      <c r="G26" s="98"/>
      <c r="H26" s="202">
        <f t="shared" si="0"/>
        <v>1</v>
      </c>
    </row>
    <row r="27" spans="1:8" ht="106.5">
      <c r="A27" s="112" t="s">
        <v>958</v>
      </c>
      <c r="B27" s="98" t="s">
        <v>940</v>
      </c>
      <c r="C27" s="98"/>
      <c r="D27" s="98">
        <v>1</v>
      </c>
      <c r="E27" s="98"/>
      <c r="F27" s="98"/>
      <c r="G27" s="98"/>
      <c r="H27" s="202">
        <f t="shared" si="0"/>
        <v>1</v>
      </c>
    </row>
    <row r="28" spans="1:8" ht="91.5">
      <c r="A28" s="112" t="s">
        <v>959</v>
      </c>
      <c r="B28" s="98" t="s">
        <v>940</v>
      </c>
      <c r="C28" s="98">
        <v>0</v>
      </c>
      <c r="D28" s="98"/>
      <c r="E28" s="98"/>
      <c r="F28" s="98"/>
      <c r="G28" s="98"/>
      <c r="H28" s="202">
        <f t="shared" si="0"/>
        <v>0</v>
      </c>
    </row>
    <row r="29" spans="1:8" ht="106.5">
      <c r="A29" s="112" t="s">
        <v>960</v>
      </c>
      <c r="B29" s="98" t="s">
        <v>945</v>
      </c>
      <c r="C29" s="98"/>
      <c r="D29" s="98"/>
      <c r="E29" s="98">
        <v>2</v>
      </c>
      <c r="F29" s="98"/>
      <c r="G29" s="98"/>
      <c r="H29" s="202">
        <f t="shared" si="0"/>
        <v>2</v>
      </c>
    </row>
    <row r="30" spans="1:8" ht="60.75">
      <c r="A30" s="112" t="s">
        <v>961</v>
      </c>
      <c r="B30" s="98" t="s">
        <v>947</v>
      </c>
      <c r="C30" s="98"/>
      <c r="D30" s="98"/>
      <c r="E30" s="98"/>
      <c r="F30" s="98">
        <v>3</v>
      </c>
      <c r="G30" s="98"/>
      <c r="H30" s="202">
        <f t="shared" si="0"/>
        <v>3</v>
      </c>
    </row>
    <row r="31" spans="1:8" ht="45.75">
      <c r="A31" s="112" t="s">
        <v>962</v>
      </c>
      <c r="B31" s="98" t="s">
        <v>947</v>
      </c>
      <c r="C31" s="98"/>
      <c r="D31" s="98"/>
      <c r="E31" s="98"/>
      <c r="F31" s="98"/>
      <c r="G31" s="98" t="s">
        <v>216</v>
      </c>
      <c r="H31" s="202">
        <f t="shared" si="0"/>
        <v>0</v>
      </c>
    </row>
    <row r="32" spans="1:8" ht="45.75">
      <c r="A32" s="112" t="s">
        <v>964</v>
      </c>
      <c r="B32" s="112" t="s">
        <v>949</v>
      </c>
      <c r="C32" s="98"/>
      <c r="D32" s="98"/>
      <c r="E32" s="98"/>
      <c r="F32" s="98">
        <v>3</v>
      </c>
      <c r="G32" s="115"/>
      <c r="H32" s="137">
        <f t="shared" si="0"/>
        <v>3</v>
      </c>
    </row>
  </sheetData>
  <mergeCells count="1">
    <mergeCell ref="A1:C1"/>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3FACD-8AB6-4F7C-B0DD-B9BC6539B5C6}">
  <dimension ref="A1:Q44"/>
  <sheetViews>
    <sheetView topLeftCell="J2" workbookViewId="0">
      <selection activeCell="U7" sqref="U7"/>
    </sheetView>
  </sheetViews>
  <sheetFormatPr defaultRowHeight="15"/>
  <cols>
    <col min="1" max="1" width="40.42578125" customWidth="1"/>
    <col min="2" max="2" width="36.5703125" customWidth="1"/>
    <col min="3" max="3" width="47.28515625" customWidth="1"/>
    <col min="4" max="4" width="38.5703125" customWidth="1"/>
    <col min="15" max="15" width="37.140625" bestFit="1" customWidth="1"/>
    <col min="16" max="16" width="11.42578125" bestFit="1" customWidth="1"/>
    <col min="17" max="17" width="55.85546875" customWidth="1"/>
  </cols>
  <sheetData>
    <row r="1" spans="1:17" ht="18">
      <c r="A1" s="294" t="s">
        <v>990</v>
      </c>
      <c r="B1" s="294"/>
      <c r="C1" s="294"/>
      <c r="D1" s="29"/>
      <c r="E1" s="29"/>
      <c r="N1" s="29"/>
      <c r="O1" s="29"/>
      <c r="P1" s="29"/>
      <c r="Q1" s="29"/>
    </row>
    <row r="2" spans="1:17" ht="167.25">
      <c r="A2" s="126" t="s">
        <v>81</v>
      </c>
      <c r="B2" s="193" t="s">
        <v>808</v>
      </c>
      <c r="C2" s="193" t="s">
        <v>991</v>
      </c>
      <c r="D2" s="193" t="s">
        <v>992</v>
      </c>
      <c r="E2" s="193" t="s">
        <v>921</v>
      </c>
      <c r="F2" s="202" t="s">
        <v>678</v>
      </c>
      <c r="G2" s="203" t="s">
        <v>237</v>
      </c>
      <c r="H2" s="202" t="s">
        <v>464</v>
      </c>
      <c r="N2" s="29"/>
      <c r="O2" s="29"/>
      <c r="P2" s="29"/>
      <c r="Q2" s="29"/>
    </row>
    <row r="3" spans="1:17">
      <c r="A3" s="112" t="s">
        <v>984</v>
      </c>
      <c r="B3" s="98" t="s">
        <v>924</v>
      </c>
      <c r="C3" s="98"/>
      <c r="D3" s="98">
        <v>1</v>
      </c>
      <c r="E3" s="98"/>
      <c r="F3" s="98"/>
      <c r="G3" s="98"/>
      <c r="H3" s="98">
        <f>SUM(C3:G3)</f>
        <v>1</v>
      </c>
      <c r="O3" s="55" t="s">
        <v>808</v>
      </c>
      <c r="P3" t="s">
        <v>953</v>
      </c>
    </row>
    <row r="4" spans="1:17">
      <c r="A4" s="112" t="s">
        <v>986</v>
      </c>
      <c r="B4" s="98" t="s">
        <v>924</v>
      </c>
      <c r="C4" s="98"/>
      <c r="D4" s="98">
        <v>1</v>
      </c>
      <c r="E4" s="98"/>
      <c r="F4" s="98"/>
      <c r="G4" s="98"/>
      <c r="H4" s="98">
        <f t="shared" ref="H4:H44" si="0">SUM(C4:G4)</f>
        <v>1</v>
      </c>
      <c r="O4" s="98" t="s">
        <v>924</v>
      </c>
      <c r="P4" s="98">
        <v>13</v>
      </c>
      <c r="Q4" s="98"/>
    </row>
    <row r="5" spans="1:17">
      <c r="A5" s="112" t="s">
        <v>987</v>
      </c>
      <c r="B5" s="98" t="s">
        <v>924</v>
      </c>
      <c r="C5" s="98"/>
      <c r="D5" s="98">
        <v>1</v>
      </c>
      <c r="E5" s="98"/>
      <c r="F5" s="98"/>
      <c r="G5" s="98"/>
      <c r="H5" s="98">
        <f t="shared" si="0"/>
        <v>1</v>
      </c>
      <c r="O5" s="98" t="s">
        <v>947</v>
      </c>
      <c r="P5" s="98">
        <v>3</v>
      </c>
      <c r="Q5" s="98" t="str">
        <f>IF(P5&gt;3,"Family Depression : Yes","Family Depression : No")</f>
        <v>Family Depression : No</v>
      </c>
    </row>
    <row r="6" spans="1:17" ht="30.75">
      <c r="A6" s="112" t="s">
        <v>988</v>
      </c>
      <c r="B6" s="98" t="s">
        <v>924</v>
      </c>
      <c r="C6" s="98"/>
      <c r="D6" s="98">
        <v>1</v>
      </c>
      <c r="E6" s="98"/>
      <c r="F6" s="98"/>
      <c r="G6" s="98"/>
      <c r="H6" s="98">
        <f t="shared" si="0"/>
        <v>1</v>
      </c>
      <c r="O6" s="98" t="s">
        <v>940</v>
      </c>
      <c r="P6" s="98">
        <v>3</v>
      </c>
      <c r="Q6" s="98" t="str">
        <f>IF(P6&gt;=1,"Family Disorder : Yes","Family Disorder : NO")</f>
        <v>Family Disorder : Yes</v>
      </c>
    </row>
    <row r="7" spans="1:17" ht="30.75">
      <c r="A7" s="112" t="s">
        <v>989</v>
      </c>
      <c r="B7" s="98" t="s">
        <v>924</v>
      </c>
      <c r="C7" s="98"/>
      <c r="D7" s="98">
        <v>1</v>
      </c>
      <c r="E7" s="98"/>
      <c r="F7" s="98"/>
      <c r="G7" s="98"/>
      <c r="H7" s="98">
        <f t="shared" si="0"/>
        <v>1</v>
      </c>
      <c r="O7" s="98" t="s">
        <v>949</v>
      </c>
      <c r="P7" s="98">
        <v>2</v>
      </c>
      <c r="Q7" s="98" t="str">
        <f>IF(P7&gt;=1,"Family Domestic Violence : Yes","Family Domestic Violence : No")</f>
        <v>Family Domestic Violence : Yes</v>
      </c>
    </row>
    <row r="8" spans="1:17">
      <c r="A8" s="98" t="s">
        <v>993</v>
      </c>
      <c r="B8" s="98" t="s">
        <v>924</v>
      </c>
      <c r="C8" s="98"/>
      <c r="D8" s="98">
        <v>1</v>
      </c>
      <c r="E8" s="98"/>
      <c r="F8" s="98"/>
      <c r="G8" s="98"/>
      <c r="H8" s="98">
        <f t="shared" si="0"/>
        <v>1</v>
      </c>
      <c r="O8" s="98" t="s">
        <v>945</v>
      </c>
      <c r="P8" s="98">
        <v>1</v>
      </c>
      <c r="Q8" s="98" t="str">
        <f>IF(P8&gt;=1,"Family Insecurity : Yes","Family Insecurity : No")</f>
        <v>Family Insecurity : Yes</v>
      </c>
    </row>
    <row r="9" spans="1:17">
      <c r="A9" s="98" t="s">
        <v>994</v>
      </c>
      <c r="B9" s="98" t="s">
        <v>924</v>
      </c>
      <c r="C9" s="98"/>
      <c r="D9" s="98">
        <v>1</v>
      </c>
      <c r="E9" s="98"/>
      <c r="F9" s="98"/>
      <c r="G9" s="98"/>
      <c r="H9" s="98">
        <f t="shared" si="0"/>
        <v>1</v>
      </c>
      <c r="O9" s="98" t="s">
        <v>970</v>
      </c>
      <c r="P9" s="98">
        <v>1</v>
      </c>
      <c r="Q9" s="98" t="str">
        <f>IF(P9&gt;=1,"Tobacco Consume : Yes","Tobacco Consume : No")</f>
        <v>Tobacco Consume : Yes</v>
      </c>
    </row>
    <row r="10" spans="1:17">
      <c r="A10" s="98" t="s">
        <v>995</v>
      </c>
      <c r="B10" s="98" t="s">
        <v>924</v>
      </c>
      <c r="C10" s="98"/>
      <c r="D10" s="98"/>
      <c r="E10" s="98">
        <v>2</v>
      </c>
      <c r="F10" s="98"/>
      <c r="G10" s="98"/>
      <c r="H10" s="98">
        <f t="shared" si="0"/>
        <v>2</v>
      </c>
      <c r="O10" s="98" t="s">
        <v>996</v>
      </c>
      <c r="P10" s="98">
        <v>3</v>
      </c>
      <c r="Q10" s="98" t="str">
        <f>IF(P10&gt;=3,"Parent’s Observations of Social Interactions : Need Review","Parent’s Observations of Social Interactions : Appear Ok")</f>
        <v>Parent’s Observations of Social Interactions : Need Review</v>
      </c>
    </row>
    <row r="11" spans="1:17" ht="30.75">
      <c r="A11" s="112" t="s">
        <v>997</v>
      </c>
      <c r="B11" s="98" t="s">
        <v>924</v>
      </c>
      <c r="C11" s="98"/>
      <c r="D11" s="98"/>
      <c r="E11" s="98">
        <v>2</v>
      </c>
      <c r="F11" s="98"/>
      <c r="G11" s="98"/>
      <c r="H11" s="98">
        <f t="shared" si="0"/>
        <v>2</v>
      </c>
      <c r="O11" s="98" t="s">
        <v>998</v>
      </c>
      <c r="P11" s="98">
        <v>9</v>
      </c>
      <c r="Q11" s="98" t="str">
        <f>IF(P11&gt;=9,"Preschool Pediatric Symptom Checklist : Need Review","Preschool Pediatric Symptom Checklist : Appear ok")</f>
        <v>Preschool Pediatric Symptom Checklist : Need Review</v>
      </c>
    </row>
    <row r="12" spans="1:17">
      <c r="A12" s="109" t="s">
        <v>999</v>
      </c>
      <c r="B12" s="109" t="s">
        <v>924</v>
      </c>
      <c r="C12" s="109"/>
      <c r="D12" s="109"/>
      <c r="E12" s="109">
        <v>2</v>
      </c>
      <c r="F12" s="109"/>
      <c r="G12" s="109"/>
      <c r="H12" s="98">
        <f t="shared" si="0"/>
        <v>2</v>
      </c>
      <c r="O12" t="s">
        <v>346</v>
      </c>
    </row>
    <row r="13" spans="1:17">
      <c r="A13" s="98" t="s">
        <v>1000</v>
      </c>
      <c r="B13" s="98" t="s">
        <v>998</v>
      </c>
      <c r="C13" s="98"/>
      <c r="D13" s="98">
        <v>1</v>
      </c>
      <c r="E13" s="98"/>
      <c r="F13" s="98"/>
      <c r="G13" s="98"/>
      <c r="H13" s="98">
        <f t="shared" si="0"/>
        <v>1</v>
      </c>
      <c r="O13" t="s">
        <v>347</v>
      </c>
      <c r="P13">
        <v>35</v>
      </c>
    </row>
    <row r="14" spans="1:17">
      <c r="A14" s="98" t="s">
        <v>1001</v>
      </c>
      <c r="B14" s="98" t="s">
        <v>998</v>
      </c>
      <c r="C14" s="98"/>
      <c r="D14" s="98"/>
      <c r="E14" s="98">
        <v>2</v>
      </c>
      <c r="F14" s="98"/>
      <c r="G14" s="98"/>
      <c r="H14" s="98">
        <f t="shared" si="0"/>
        <v>2</v>
      </c>
    </row>
    <row r="15" spans="1:17" ht="30.75">
      <c r="A15" s="112" t="s">
        <v>1002</v>
      </c>
      <c r="B15" s="98" t="s">
        <v>998</v>
      </c>
      <c r="C15" s="98"/>
      <c r="D15" s="98">
        <v>1</v>
      </c>
      <c r="E15" s="98"/>
      <c r="F15" s="98"/>
      <c r="G15" s="98"/>
      <c r="H15" s="98">
        <f t="shared" si="0"/>
        <v>1</v>
      </c>
    </row>
    <row r="16" spans="1:17">
      <c r="A16" s="98" t="s">
        <v>1003</v>
      </c>
      <c r="B16" s="98" t="s">
        <v>998</v>
      </c>
      <c r="C16" s="98"/>
      <c r="D16" s="98">
        <v>1</v>
      </c>
      <c r="E16" s="98"/>
      <c r="F16" s="98"/>
      <c r="G16" s="98"/>
      <c r="H16" s="98">
        <f t="shared" si="0"/>
        <v>1</v>
      </c>
    </row>
    <row r="17" spans="1:8" ht="30.75">
      <c r="A17" s="112" t="s">
        <v>1004</v>
      </c>
      <c r="B17" s="98" t="s">
        <v>998</v>
      </c>
      <c r="C17" s="98"/>
      <c r="D17" s="98">
        <v>1</v>
      </c>
      <c r="E17" s="98"/>
      <c r="F17" s="98"/>
      <c r="G17" s="98"/>
      <c r="H17" s="98">
        <f t="shared" si="0"/>
        <v>1</v>
      </c>
    </row>
    <row r="18" spans="1:8">
      <c r="A18" s="98" t="s">
        <v>1005</v>
      </c>
      <c r="B18" s="98" t="s">
        <v>998</v>
      </c>
      <c r="C18" s="98"/>
      <c r="D18" s="98">
        <v>1</v>
      </c>
      <c r="E18" s="98"/>
      <c r="F18" s="98"/>
      <c r="G18" s="98"/>
      <c r="H18" s="98">
        <f t="shared" si="0"/>
        <v>1</v>
      </c>
    </row>
    <row r="19" spans="1:8">
      <c r="A19" s="98" t="s">
        <v>1006</v>
      </c>
      <c r="B19" s="98" t="s">
        <v>998</v>
      </c>
      <c r="C19" s="98">
        <v>0</v>
      </c>
      <c r="D19" s="98"/>
      <c r="E19" s="98"/>
      <c r="F19" s="98"/>
      <c r="G19" s="98"/>
      <c r="H19" s="98">
        <f t="shared" si="0"/>
        <v>0</v>
      </c>
    </row>
    <row r="20" spans="1:8" ht="30.75">
      <c r="A20" s="112" t="s">
        <v>1007</v>
      </c>
      <c r="B20" s="98" t="s">
        <v>998</v>
      </c>
      <c r="C20" s="98">
        <v>0</v>
      </c>
      <c r="D20" s="98"/>
      <c r="E20" s="98"/>
      <c r="F20" s="98"/>
      <c r="G20" s="98"/>
      <c r="H20" s="98">
        <f t="shared" si="0"/>
        <v>0</v>
      </c>
    </row>
    <row r="21" spans="1:8" ht="30.75">
      <c r="A21" s="112" t="s">
        <v>946</v>
      </c>
      <c r="B21" s="98" t="s">
        <v>998</v>
      </c>
      <c r="C21" s="98">
        <v>0</v>
      </c>
      <c r="D21" s="98"/>
      <c r="E21" s="98"/>
      <c r="F21" s="98"/>
      <c r="G21" s="98"/>
      <c r="H21" s="98">
        <f t="shared" si="0"/>
        <v>0</v>
      </c>
    </row>
    <row r="22" spans="1:8" ht="30.75">
      <c r="A22" s="112" t="s">
        <v>1008</v>
      </c>
      <c r="B22" s="98" t="s">
        <v>998</v>
      </c>
      <c r="C22" s="98">
        <v>0</v>
      </c>
      <c r="D22" s="98"/>
      <c r="E22" s="98"/>
      <c r="F22" s="98"/>
      <c r="G22" s="98"/>
      <c r="H22" s="98">
        <f t="shared" si="0"/>
        <v>0</v>
      </c>
    </row>
    <row r="23" spans="1:8">
      <c r="A23" s="112" t="s">
        <v>1009</v>
      </c>
      <c r="B23" s="98" t="s">
        <v>998</v>
      </c>
      <c r="C23" s="98">
        <v>0</v>
      </c>
      <c r="D23" s="98"/>
      <c r="E23" s="98"/>
      <c r="F23" s="98"/>
      <c r="G23" s="98"/>
      <c r="H23" s="98">
        <f t="shared" si="0"/>
        <v>0</v>
      </c>
    </row>
    <row r="24" spans="1:8">
      <c r="A24" s="112" t="s">
        <v>1010</v>
      </c>
      <c r="B24" s="98" t="s">
        <v>998</v>
      </c>
      <c r="C24" s="98">
        <v>0</v>
      </c>
      <c r="D24" s="98"/>
      <c r="E24" s="98"/>
      <c r="F24" s="98"/>
      <c r="G24" s="98"/>
      <c r="H24" s="98">
        <f t="shared" si="0"/>
        <v>0</v>
      </c>
    </row>
    <row r="25" spans="1:8">
      <c r="A25" s="112" t="s">
        <v>1011</v>
      </c>
      <c r="B25" s="98" t="s">
        <v>998</v>
      </c>
      <c r="C25" s="98">
        <v>0</v>
      </c>
      <c r="D25" s="98"/>
      <c r="E25" s="98"/>
      <c r="F25" s="98"/>
      <c r="G25" s="98"/>
      <c r="H25" s="98">
        <f t="shared" si="0"/>
        <v>0</v>
      </c>
    </row>
    <row r="26" spans="1:8">
      <c r="A26" s="112" t="s">
        <v>1012</v>
      </c>
      <c r="B26" s="98" t="s">
        <v>998</v>
      </c>
      <c r="C26" s="98">
        <v>0</v>
      </c>
      <c r="D26" s="98"/>
      <c r="E26" s="98"/>
      <c r="F26" s="98"/>
      <c r="G26" s="98"/>
      <c r="H26" s="98">
        <f t="shared" si="0"/>
        <v>0</v>
      </c>
    </row>
    <row r="27" spans="1:8">
      <c r="A27" s="112" t="s">
        <v>1013</v>
      </c>
      <c r="B27" s="98" t="s">
        <v>998</v>
      </c>
      <c r="C27" s="98">
        <v>0</v>
      </c>
      <c r="D27" s="98"/>
      <c r="E27" s="98"/>
      <c r="F27" s="98"/>
      <c r="G27" s="98"/>
      <c r="H27" s="98">
        <f t="shared" si="0"/>
        <v>0</v>
      </c>
    </row>
    <row r="28" spans="1:8">
      <c r="A28" s="112" t="s">
        <v>1014</v>
      </c>
      <c r="B28" s="98" t="s">
        <v>998</v>
      </c>
      <c r="C28" s="98">
        <v>0</v>
      </c>
      <c r="D28" s="98"/>
      <c r="E28" s="98"/>
      <c r="F28" s="98"/>
      <c r="G28" s="98"/>
      <c r="H28" s="98">
        <f t="shared" si="0"/>
        <v>0</v>
      </c>
    </row>
    <row r="29" spans="1:8" ht="30.75">
      <c r="A29" s="112" t="s">
        <v>1015</v>
      </c>
      <c r="B29" s="98" t="s">
        <v>998</v>
      </c>
      <c r="C29" s="98"/>
      <c r="D29" s="98">
        <v>1</v>
      </c>
      <c r="E29" s="98"/>
      <c r="F29" s="98"/>
      <c r="G29" s="98"/>
      <c r="H29" s="98">
        <f t="shared" si="0"/>
        <v>1</v>
      </c>
    </row>
    <row r="30" spans="1:8">
      <c r="A30" s="119" t="s">
        <v>1016</v>
      </c>
      <c r="B30" s="109" t="s">
        <v>998</v>
      </c>
      <c r="C30" s="109"/>
      <c r="D30" s="109">
        <v>1</v>
      </c>
      <c r="E30" s="109"/>
      <c r="F30" s="109"/>
      <c r="G30" s="109"/>
      <c r="H30" s="98">
        <f t="shared" si="0"/>
        <v>1</v>
      </c>
    </row>
    <row r="31" spans="1:8" ht="30.75">
      <c r="A31" s="112" t="s">
        <v>1017</v>
      </c>
      <c r="B31" s="98" t="s">
        <v>996</v>
      </c>
      <c r="C31" s="98"/>
      <c r="D31" s="98">
        <v>1</v>
      </c>
      <c r="E31" s="98"/>
      <c r="F31" s="98"/>
      <c r="G31" s="98"/>
      <c r="H31" s="98">
        <f t="shared" si="0"/>
        <v>1</v>
      </c>
    </row>
    <row r="32" spans="1:8" ht="30.75">
      <c r="A32" s="112" t="s">
        <v>1018</v>
      </c>
      <c r="B32" s="98" t="s">
        <v>996</v>
      </c>
      <c r="C32" s="98"/>
      <c r="D32" s="98">
        <v>1</v>
      </c>
      <c r="E32" s="98"/>
      <c r="F32" s="98"/>
      <c r="G32" s="98"/>
      <c r="H32" s="98">
        <f t="shared" si="0"/>
        <v>1</v>
      </c>
    </row>
    <row r="33" spans="1:8" ht="30.75">
      <c r="A33" s="112" t="s">
        <v>1019</v>
      </c>
      <c r="B33" s="98" t="s">
        <v>996</v>
      </c>
      <c r="C33" s="98"/>
      <c r="D33" s="98">
        <v>1</v>
      </c>
      <c r="E33" s="98"/>
      <c r="F33" s="98"/>
      <c r="G33" s="98"/>
      <c r="H33" s="98">
        <f t="shared" si="0"/>
        <v>1</v>
      </c>
    </row>
    <row r="34" spans="1:8" ht="30.75">
      <c r="A34" s="112" t="s">
        <v>1020</v>
      </c>
      <c r="B34" s="98" t="s">
        <v>996</v>
      </c>
      <c r="C34" s="98">
        <v>0</v>
      </c>
      <c r="D34" s="98"/>
      <c r="E34" s="98"/>
      <c r="F34" s="98"/>
      <c r="G34" s="98"/>
      <c r="H34" s="98">
        <f t="shared" si="0"/>
        <v>0</v>
      </c>
    </row>
    <row r="35" spans="1:8" ht="30.75">
      <c r="A35" s="112" t="s">
        <v>1021</v>
      </c>
      <c r="B35" s="98" t="s">
        <v>996</v>
      </c>
      <c r="C35" s="98">
        <v>0</v>
      </c>
      <c r="D35" s="98"/>
      <c r="E35" s="98"/>
      <c r="F35" s="98"/>
      <c r="G35" s="98"/>
      <c r="H35" s="98">
        <f t="shared" si="0"/>
        <v>0</v>
      </c>
    </row>
    <row r="36" spans="1:8" ht="30.75">
      <c r="A36" s="112" t="s">
        <v>956</v>
      </c>
      <c r="B36" s="98" t="s">
        <v>970</v>
      </c>
      <c r="C36" s="98"/>
      <c r="D36" s="98">
        <v>1</v>
      </c>
      <c r="E36" s="98"/>
      <c r="F36" s="98"/>
      <c r="G36" s="98"/>
      <c r="H36" s="98">
        <f t="shared" si="0"/>
        <v>1</v>
      </c>
    </row>
    <row r="37" spans="1:8" ht="30.75">
      <c r="A37" s="112" t="s">
        <v>957</v>
      </c>
      <c r="B37" s="98" t="s">
        <v>940</v>
      </c>
      <c r="C37" s="98"/>
      <c r="D37" s="98">
        <v>1</v>
      </c>
      <c r="E37" s="98"/>
      <c r="F37" s="98"/>
      <c r="G37" s="98"/>
      <c r="H37" s="98">
        <f t="shared" si="0"/>
        <v>1</v>
      </c>
    </row>
    <row r="38" spans="1:8" ht="45.75">
      <c r="A38" s="112" t="s">
        <v>958</v>
      </c>
      <c r="B38" s="98" t="s">
        <v>940</v>
      </c>
      <c r="C38" s="98"/>
      <c r="D38" s="98">
        <v>1</v>
      </c>
      <c r="E38" s="98"/>
      <c r="F38" s="98"/>
      <c r="G38" s="98"/>
      <c r="H38" s="98">
        <f t="shared" si="0"/>
        <v>1</v>
      </c>
    </row>
    <row r="39" spans="1:8" ht="30.75">
      <c r="A39" s="112" t="s">
        <v>959</v>
      </c>
      <c r="B39" s="98" t="s">
        <v>940</v>
      </c>
      <c r="C39" s="98"/>
      <c r="D39" s="98">
        <v>1</v>
      </c>
      <c r="E39" s="98"/>
      <c r="F39" s="98"/>
      <c r="G39" s="98"/>
      <c r="H39" s="98">
        <f t="shared" si="0"/>
        <v>1</v>
      </c>
    </row>
    <row r="40" spans="1:8" ht="45.75">
      <c r="A40" s="112" t="s">
        <v>960</v>
      </c>
      <c r="B40" s="98" t="s">
        <v>945</v>
      </c>
      <c r="C40" s="98"/>
      <c r="D40" s="98">
        <v>1</v>
      </c>
      <c r="E40" s="98"/>
      <c r="F40" s="98"/>
      <c r="G40" s="98"/>
      <c r="H40" s="98">
        <f t="shared" si="0"/>
        <v>1</v>
      </c>
    </row>
    <row r="41" spans="1:8" ht="30.75">
      <c r="A41" s="112" t="s">
        <v>961</v>
      </c>
      <c r="B41" s="98" t="s">
        <v>947</v>
      </c>
      <c r="C41" s="98"/>
      <c r="D41" s="98"/>
      <c r="E41" s="98">
        <v>2</v>
      </c>
      <c r="F41" s="98"/>
      <c r="G41" s="98"/>
      <c r="H41" s="98">
        <f t="shared" si="0"/>
        <v>2</v>
      </c>
    </row>
    <row r="42" spans="1:8">
      <c r="A42" s="112" t="s">
        <v>962</v>
      </c>
      <c r="B42" s="98" t="s">
        <v>947</v>
      </c>
      <c r="C42" s="98"/>
      <c r="D42" s="98">
        <v>1</v>
      </c>
      <c r="E42" s="98"/>
      <c r="F42" s="98"/>
      <c r="G42" s="98"/>
      <c r="H42" s="98">
        <f t="shared" si="0"/>
        <v>1</v>
      </c>
    </row>
    <row r="43" spans="1:8" ht="30.75">
      <c r="A43" s="112" t="s">
        <v>963</v>
      </c>
      <c r="B43" s="112" t="s">
        <v>949</v>
      </c>
      <c r="C43" s="98"/>
      <c r="D43" s="98">
        <v>1</v>
      </c>
      <c r="E43" s="98"/>
      <c r="F43" s="98"/>
      <c r="G43" s="98"/>
      <c r="H43" s="98">
        <f t="shared" si="0"/>
        <v>1</v>
      </c>
    </row>
    <row r="44" spans="1:8" ht="30.75">
      <c r="A44" s="112" t="s">
        <v>964</v>
      </c>
      <c r="B44" s="112" t="s">
        <v>949</v>
      </c>
      <c r="C44" s="98"/>
      <c r="D44" s="98">
        <v>1</v>
      </c>
      <c r="E44" s="98"/>
      <c r="F44" s="98"/>
      <c r="G44" s="98"/>
      <c r="H44" s="98">
        <f t="shared" si="0"/>
        <v>1</v>
      </c>
    </row>
  </sheetData>
  <mergeCells count="1">
    <mergeCell ref="A1:C1"/>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9BC19-32AC-482A-B233-3171FB450820}">
  <dimension ref="A1:T44"/>
  <sheetViews>
    <sheetView topLeftCell="F5" workbookViewId="0">
      <selection activeCell="T6" sqref="T6:T12"/>
    </sheetView>
  </sheetViews>
  <sheetFormatPr defaultRowHeight="15"/>
  <cols>
    <col min="1" max="1" width="37.140625" style="29" customWidth="1"/>
    <col min="2" max="2" width="40.140625" customWidth="1"/>
    <col min="3" max="3" width="55.42578125" style="29" customWidth="1"/>
    <col min="4" max="4" width="26.28515625" style="29" customWidth="1"/>
    <col min="5" max="5" width="27.42578125" style="29" customWidth="1"/>
    <col min="6" max="6" width="24.5703125" customWidth="1"/>
    <col min="7" max="7" width="14" customWidth="1"/>
    <col min="18" max="18" width="37.140625" bestFit="1" customWidth="1"/>
    <col min="19" max="19" width="11.42578125" bestFit="1" customWidth="1"/>
    <col min="20" max="20" width="56.28515625" customWidth="1"/>
  </cols>
  <sheetData>
    <row r="1" spans="1:20" ht="18">
      <c r="A1" s="294" t="s">
        <v>1022</v>
      </c>
      <c r="B1" s="294"/>
      <c r="C1" s="294"/>
      <c r="I1" s="29"/>
      <c r="J1" s="29"/>
      <c r="K1" s="29"/>
      <c r="L1" s="29"/>
      <c r="M1" s="29"/>
      <c r="N1" s="29"/>
      <c r="O1" s="29"/>
      <c r="P1" s="29"/>
      <c r="Q1" s="29"/>
    </row>
    <row r="2" spans="1:20" ht="106.5">
      <c r="A2" s="126" t="s">
        <v>81</v>
      </c>
      <c r="B2" s="202" t="s">
        <v>808</v>
      </c>
      <c r="C2" s="193" t="s">
        <v>991</v>
      </c>
      <c r="D2" s="193" t="s">
        <v>992</v>
      </c>
      <c r="E2" s="193" t="s">
        <v>921</v>
      </c>
      <c r="F2" s="202" t="s">
        <v>678</v>
      </c>
      <c r="G2" s="203" t="s">
        <v>237</v>
      </c>
      <c r="H2" s="202" t="s">
        <v>464</v>
      </c>
      <c r="I2" s="29"/>
      <c r="J2" s="29"/>
      <c r="K2" s="29"/>
      <c r="L2" s="29"/>
      <c r="M2" s="29"/>
      <c r="N2" s="29"/>
      <c r="O2" s="29"/>
      <c r="P2" s="29"/>
      <c r="Q2" s="29"/>
    </row>
    <row r="3" spans="1:20" ht="45.75">
      <c r="A3" s="112" t="s">
        <v>989</v>
      </c>
      <c r="B3" s="98" t="s">
        <v>924</v>
      </c>
      <c r="C3" s="112"/>
      <c r="D3" s="112"/>
      <c r="E3" s="112">
        <v>2</v>
      </c>
      <c r="F3" s="98"/>
      <c r="G3" s="98"/>
      <c r="H3" s="98">
        <f>SUM(C3:G3)</f>
        <v>2</v>
      </c>
    </row>
    <row r="4" spans="1:20" ht="30.75">
      <c r="A4" s="112" t="s">
        <v>993</v>
      </c>
      <c r="B4" s="98" t="s">
        <v>924</v>
      </c>
      <c r="C4" s="112"/>
      <c r="D4" s="112">
        <v>1</v>
      </c>
      <c r="E4" s="112"/>
      <c r="F4" s="98"/>
      <c r="G4" s="98"/>
      <c r="H4" s="98">
        <f t="shared" ref="H4:H44" si="0">SUM(C4:G4)</f>
        <v>1</v>
      </c>
      <c r="R4" s="55" t="s">
        <v>808</v>
      </c>
      <c r="S4" t="s">
        <v>953</v>
      </c>
    </row>
    <row r="5" spans="1:20" ht="30.75">
      <c r="A5" s="112" t="s">
        <v>994</v>
      </c>
      <c r="B5" s="98" t="s">
        <v>924</v>
      </c>
      <c r="C5" s="112"/>
      <c r="D5" s="112">
        <v>1</v>
      </c>
      <c r="E5" s="112"/>
      <c r="F5" s="98"/>
      <c r="G5" s="98"/>
      <c r="H5" s="98">
        <f t="shared" si="0"/>
        <v>1</v>
      </c>
      <c r="R5" s="98" t="s">
        <v>924</v>
      </c>
      <c r="S5" s="98">
        <v>13</v>
      </c>
      <c r="T5" s="98"/>
    </row>
    <row r="6" spans="1:20" ht="30.75">
      <c r="A6" s="112" t="s">
        <v>995</v>
      </c>
      <c r="B6" s="98" t="s">
        <v>924</v>
      </c>
      <c r="C6" s="112"/>
      <c r="D6" s="112">
        <v>1</v>
      </c>
      <c r="E6" s="112"/>
      <c r="F6" s="98"/>
      <c r="G6" s="98"/>
      <c r="H6" s="98">
        <f t="shared" si="0"/>
        <v>1</v>
      </c>
      <c r="R6" s="98" t="s">
        <v>947</v>
      </c>
      <c r="S6" s="98">
        <v>3</v>
      </c>
      <c r="T6" s="98" t="str">
        <f>IF(S6&gt;3,"Family Depression : Yes","Family Depression : No")</f>
        <v>Family Depression : No</v>
      </c>
    </row>
    <row r="7" spans="1:20" ht="45.75">
      <c r="A7" s="112" t="s">
        <v>997</v>
      </c>
      <c r="B7" s="98" t="s">
        <v>924</v>
      </c>
      <c r="C7" s="112"/>
      <c r="D7" s="112">
        <v>1</v>
      </c>
      <c r="E7" s="112"/>
      <c r="F7" s="98"/>
      <c r="G7" s="98"/>
      <c r="H7" s="98">
        <f t="shared" si="0"/>
        <v>1</v>
      </c>
      <c r="R7" s="98" t="s">
        <v>940</v>
      </c>
      <c r="S7" s="98">
        <v>1</v>
      </c>
      <c r="T7" s="98" t="str">
        <f>IF(S7&gt;=1,"Family Disorder : Yes","Family Disorder : NO")</f>
        <v>Family Disorder : Yes</v>
      </c>
    </row>
    <row r="8" spans="1:20" ht="30.75">
      <c r="A8" s="119" t="s">
        <v>999</v>
      </c>
      <c r="B8" s="109" t="s">
        <v>924</v>
      </c>
      <c r="C8" s="112"/>
      <c r="D8" s="112">
        <v>1</v>
      </c>
      <c r="E8" s="112"/>
      <c r="F8" s="98"/>
      <c r="G8" s="98"/>
      <c r="H8" s="98">
        <f t="shared" si="0"/>
        <v>1</v>
      </c>
      <c r="R8" s="98" t="s">
        <v>949</v>
      </c>
      <c r="S8" s="98">
        <v>0</v>
      </c>
      <c r="T8" s="98" t="str">
        <f>IF(S8&gt;=1,"Family Domestic Violence : Yes","Family Domestic Violence : No")</f>
        <v>Family Domestic Violence : No</v>
      </c>
    </row>
    <row r="9" spans="1:20">
      <c r="A9" s="112" t="s">
        <v>1023</v>
      </c>
      <c r="B9" s="109" t="s">
        <v>924</v>
      </c>
      <c r="C9" s="112"/>
      <c r="D9" s="112">
        <v>1</v>
      </c>
      <c r="E9" s="112"/>
      <c r="F9" s="98"/>
      <c r="G9" s="98"/>
      <c r="H9" s="98">
        <f t="shared" si="0"/>
        <v>1</v>
      </c>
      <c r="R9" s="98" t="s">
        <v>945</v>
      </c>
      <c r="S9" s="98">
        <v>1</v>
      </c>
      <c r="T9" s="98" t="str">
        <f>IF(S9&gt;=1,"Family Insecurity : Yes","Family Insecurity : No")</f>
        <v>Family Insecurity : Yes</v>
      </c>
    </row>
    <row r="10" spans="1:20" ht="30.75">
      <c r="A10" s="112" t="s">
        <v>1024</v>
      </c>
      <c r="B10" s="109" t="s">
        <v>924</v>
      </c>
      <c r="C10" s="112"/>
      <c r="D10" s="112"/>
      <c r="E10" s="112">
        <v>2</v>
      </c>
      <c r="F10" s="98"/>
      <c r="G10" s="98"/>
      <c r="H10" s="98">
        <f t="shared" si="0"/>
        <v>2</v>
      </c>
      <c r="R10" s="98" t="s">
        <v>970</v>
      </c>
      <c r="S10" s="98">
        <v>0</v>
      </c>
      <c r="T10" s="98" t="str">
        <f>IF(S10&gt;=1,"Tobacco Consume : Yes","Tobacco Consume : No")</f>
        <v>Tobacco Consume : No</v>
      </c>
    </row>
    <row r="11" spans="1:20" ht="30.75">
      <c r="A11" s="112" t="s">
        <v>1025</v>
      </c>
      <c r="B11" s="109" t="s">
        <v>924</v>
      </c>
      <c r="C11" s="112"/>
      <c r="D11" s="112"/>
      <c r="E11" s="112">
        <v>2</v>
      </c>
      <c r="F11" s="98"/>
      <c r="G11" s="98"/>
      <c r="H11" s="98">
        <f t="shared" si="0"/>
        <v>2</v>
      </c>
      <c r="R11" s="98" t="s">
        <v>996</v>
      </c>
      <c r="S11" s="98">
        <v>5</v>
      </c>
      <c r="T11" s="98" t="str">
        <f>IF(S11&gt;=3,"Parent’s Observations of Social Interactions : Need Review","Parent’s Observations of Social Interactions : Appear Ok")</f>
        <v>Parent’s Observations of Social Interactions : Need Review</v>
      </c>
    </row>
    <row r="12" spans="1:20">
      <c r="A12" s="112" t="s">
        <v>1026</v>
      </c>
      <c r="B12" s="109" t="s">
        <v>924</v>
      </c>
      <c r="C12" s="112"/>
      <c r="D12" s="112">
        <v>1</v>
      </c>
      <c r="E12" s="112"/>
      <c r="F12" s="98"/>
      <c r="G12" s="98"/>
      <c r="H12" s="98">
        <f t="shared" si="0"/>
        <v>1</v>
      </c>
      <c r="R12" s="98" t="s">
        <v>998</v>
      </c>
      <c r="S12" s="98">
        <v>18</v>
      </c>
      <c r="T12" s="98" t="str">
        <f>IF(S12&gt;=9,"Preschool Pediatric Symptom Checklist : Need Review","Preschool Pediatric Symptom Checklist : Appear ok")</f>
        <v>Preschool Pediatric Symptom Checklist : Need Review</v>
      </c>
    </row>
    <row r="13" spans="1:20">
      <c r="A13" s="98" t="s">
        <v>1000</v>
      </c>
      <c r="B13" s="98" t="s">
        <v>998</v>
      </c>
      <c r="C13" s="112"/>
      <c r="D13" s="112">
        <v>1</v>
      </c>
      <c r="E13" s="112"/>
      <c r="F13" s="98"/>
      <c r="G13" s="98"/>
      <c r="H13" s="98">
        <f t="shared" si="0"/>
        <v>1</v>
      </c>
      <c r="R13" s="98" t="s">
        <v>346</v>
      </c>
      <c r="S13" s="98"/>
      <c r="T13" s="98"/>
    </row>
    <row r="14" spans="1:20">
      <c r="A14" s="98" t="s">
        <v>1001</v>
      </c>
      <c r="B14" s="98" t="s">
        <v>998</v>
      </c>
      <c r="C14" s="112"/>
      <c r="D14" s="112">
        <v>1</v>
      </c>
      <c r="E14" s="112"/>
      <c r="F14" s="98"/>
      <c r="G14" s="98"/>
      <c r="H14" s="98">
        <f t="shared" si="0"/>
        <v>1</v>
      </c>
      <c r="R14" s="98" t="s">
        <v>347</v>
      </c>
      <c r="S14" s="98">
        <v>41</v>
      </c>
      <c r="T14" s="98"/>
    </row>
    <row r="15" spans="1:20" ht="30.75">
      <c r="A15" s="112" t="s">
        <v>1002</v>
      </c>
      <c r="B15" s="98" t="s">
        <v>998</v>
      </c>
      <c r="C15" s="112"/>
      <c r="D15" s="112">
        <v>1</v>
      </c>
      <c r="E15" s="112"/>
      <c r="F15" s="98"/>
      <c r="G15" s="98"/>
      <c r="H15" s="98">
        <f t="shared" si="0"/>
        <v>1</v>
      </c>
    </row>
    <row r="16" spans="1:20">
      <c r="A16" s="98" t="s">
        <v>1003</v>
      </c>
      <c r="B16" s="98" t="s">
        <v>998</v>
      </c>
      <c r="C16" s="112"/>
      <c r="D16" s="112">
        <v>1</v>
      </c>
      <c r="E16" s="112"/>
      <c r="F16" s="98"/>
      <c r="G16" s="98"/>
      <c r="H16" s="98">
        <f t="shared" si="0"/>
        <v>1</v>
      </c>
    </row>
    <row r="17" spans="1:8" ht="30.75">
      <c r="A17" s="112" t="s">
        <v>1004</v>
      </c>
      <c r="B17" s="98" t="s">
        <v>998</v>
      </c>
      <c r="C17" s="112"/>
      <c r="D17" s="112">
        <v>1</v>
      </c>
      <c r="E17" s="112"/>
      <c r="F17" s="98"/>
      <c r="G17" s="98"/>
      <c r="H17" s="98">
        <f t="shared" si="0"/>
        <v>1</v>
      </c>
    </row>
    <row r="18" spans="1:8">
      <c r="A18" s="98" t="s">
        <v>1005</v>
      </c>
      <c r="B18" s="98" t="s">
        <v>998</v>
      </c>
      <c r="C18" s="112"/>
      <c r="D18" s="112">
        <v>1</v>
      </c>
      <c r="E18" s="112"/>
      <c r="F18" s="98"/>
      <c r="G18" s="98"/>
      <c r="H18" s="98">
        <f t="shared" si="0"/>
        <v>1</v>
      </c>
    </row>
    <row r="19" spans="1:8">
      <c r="A19" s="98" t="s">
        <v>1006</v>
      </c>
      <c r="B19" s="98" t="s">
        <v>998</v>
      </c>
      <c r="C19" s="119"/>
      <c r="D19" s="119">
        <v>1</v>
      </c>
      <c r="E19" s="119"/>
      <c r="F19" s="109"/>
      <c r="G19" s="109"/>
      <c r="H19" s="98">
        <f t="shared" si="0"/>
        <v>1</v>
      </c>
    </row>
    <row r="20" spans="1:8" ht="30.75">
      <c r="A20" s="112" t="s">
        <v>1007</v>
      </c>
      <c r="B20" s="115" t="s">
        <v>998</v>
      </c>
      <c r="C20" s="112"/>
      <c r="D20" s="112">
        <v>1</v>
      </c>
      <c r="E20" s="112"/>
      <c r="F20" s="98"/>
      <c r="G20" s="98"/>
      <c r="H20" s="98">
        <f t="shared" si="0"/>
        <v>1</v>
      </c>
    </row>
    <row r="21" spans="1:8" ht="30.75">
      <c r="A21" s="112" t="s">
        <v>946</v>
      </c>
      <c r="B21" s="115" t="s">
        <v>998</v>
      </c>
      <c r="C21" s="112"/>
      <c r="D21" s="112">
        <v>1</v>
      </c>
      <c r="E21" s="112"/>
      <c r="F21" s="98"/>
      <c r="G21" s="98"/>
      <c r="H21" s="98">
        <f t="shared" si="0"/>
        <v>1</v>
      </c>
    </row>
    <row r="22" spans="1:8" ht="30.75">
      <c r="A22" s="112" t="s">
        <v>1008</v>
      </c>
      <c r="B22" s="115" t="s">
        <v>998</v>
      </c>
      <c r="C22" s="112"/>
      <c r="D22" s="112">
        <v>1</v>
      </c>
      <c r="E22" s="112"/>
      <c r="F22" s="98"/>
      <c r="G22" s="98"/>
      <c r="H22" s="98">
        <f t="shared" si="0"/>
        <v>1</v>
      </c>
    </row>
    <row r="23" spans="1:8">
      <c r="A23" s="112" t="s">
        <v>1009</v>
      </c>
      <c r="B23" s="115" t="s">
        <v>998</v>
      </c>
      <c r="C23" s="112"/>
      <c r="D23" s="112">
        <v>1</v>
      </c>
      <c r="E23" s="112"/>
      <c r="F23" s="98"/>
      <c r="G23" s="98"/>
      <c r="H23" s="98">
        <f t="shared" si="0"/>
        <v>1</v>
      </c>
    </row>
    <row r="24" spans="1:8">
      <c r="A24" s="112" t="s">
        <v>1010</v>
      </c>
      <c r="B24" s="115" t="s">
        <v>998</v>
      </c>
      <c r="C24" s="112"/>
      <c r="D24" s="112">
        <v>1</v>
      </c>
      <c r="E24" s="112"/>
      <c r="F24" s="98"/>
      <c r="G24" s="98"/>
      <c r="H24" s="98">
        <f t="shared" si="0"/>
        <v>1</v>
      </c>
    </row>
    <row r="25" spans="1:8">
      <c r="A25" s="112" t="s">
        <v>1011</v>
      </c>
      <c r="B25" s="115" t="s">
        <v>998</v>
      </c>
      <c r="C25" s="112"/>
      <c r="D25" s="112">
        <v>1</v>
      </c>
      <c r="E25" s="112"/>
      <c r="F25" s="98"/>
      <c r="G25" s="98"/>
      <c r="H25" s="98">
        <f t="shared" si="0"/>
        <v>1</v>
      </c>
    </row>
    <row r="26" spans="1:8">
      <c r="A26" s="112" t="s">
        <v>1012</v>
      </c>
      <c r="B26" s="115" t="s">
        <v>998</v>
      </c>
      <c r="C26" s="112"/>
      <c r="D26" s="112">
        <v>1</v>
      </c>
      <c r="E26" s="112"/>
      <c r="F26" s="98"/>
      <c r="G26" s="98"/>
      <c r="H26" s="98">
        <f t="shared" si="0"/>
        <v>1</v>
      </c>
    </row>
    <row r="27" spans="1:8">
      <c r="A27" s="112" t="s">
        <v>1013</v>
      </c>
      <c r="B27" s="115" t="s">
        <v>998</v>
      </c>
      <c r="C27" s="112"/>
      <c r="D27" s="112">
        <v>1</v>
      </c>
      <c r="E27" s="112"/>
      <c r="F27" s="98"/>
      <c r="G27" s="98"/>
      <c r="H27" s="98">
        <f t="shared" si="0"/>
        <v>1</v>
      </c>
    </row>
    <row r="28" spans="1:8">
      <c r="A28" s="112" t="s">
        <v>1014</v>
      </c>
      <c r="B28" s="115" t="s">
        <v>998</v>
      </c>
      <c r="C28" s="112"/>
      <c r="D28" s="112">
        <v>1</v>
      </c>
      <c r="E28" s="112"/>
      <c r="F28" s="98"/>
      <c r="G28" s="98"/>
      <c r="H28" s="98">
        <f t="shared" si="0"/>
        <v>1</v>
      </c>
    </row>
    <row r="29" spans="1:8" ht="30.75">
      <c r="A29" s="112" t="s">
        <v>1015</v>
      </c>
      <c r="B29" s="115" t="s">
        <v>998</v>
      </c>
      <c r="C29" s="112"/>
      <c r="D29" s="112">
        <v>1</v>
      </c>
      <c r="E29" s="112"/>
      <c r="F29" s="98"/>
      <c r="G29" s="98"/>
      <c r="H29" s="98">
        <f t="shared" si="0"/>
        <v>1</v>
      </c>
    </row>
    <row r="30" spans="1:8">
      <c r="A30" s="119" t="s">
        <v>1016</v>
      </c>
      <c r="B30" s="143" t="s">
        <v>998</v>
      </c>
      <c r="C30" s="112"/>
      <c r="D30" s="112">
        <v>1</v>
      </c>
      <c r="E30" s="112"/>
      <c r="F30" s="98"/>
      <c r="G30" s="98"/>
      <c r="H30" s="98">
        <f t="shared" si="0"/>
        <v>1</v>
      </c>
    </row>
    <row r="31" spans="1:8" ht="30.75">
      <c r="A31" s="112" t="s">
        <v>1017</v>
      </c>
      <c r="B31" s="115" t="s">
        <v>996</v>
      </c>
      <c r="C31" s="112"/>
      <c r="D31" s="112">
        <v>1</v>
      </c>
      <c r="E31" s="112"/>
      <c r="F31" s="98"/>
      <c r="G31" s="98"/>
      <c r="H31" s="98">
        <f t="shared" si="0"/>
        <v>1</v>
      </c>
    </row>
    <row r="32" spans="1:8" ht="30.75">
      <c r="A32" s="112" t="s">
        <v>1018</v>
      </c>
      <c r="B32" s="115" t="s">
        <v>996</v>
      </c>
      <c r="C32" s="112"/>
      <c r="D32" s="112">
        <v>1</v>
      </c>
      <c r="E32" s="112"/>
      <c r="F32" s="98"/>
      <c r="G32" s="98"/>
      <c r="H32" s="98">
        <f t="shared" si="0"/>
        <v>1</v>
      </c>
    </row>
    <row r="33" spans="1:8" ht="30.75">
      <c r="A33" s="112" t="s">
        <v>1019</v>
      </c>
      <c r="B33" s="115" t="s">
        <v>996</v>
      </c>
      <c r="C33" s="112"/>
      <c r="D33" s="112">
        <v>1</v>
      </c>
      <c r="E33" s="112"/>
      <c r="F33" s="98"/>
      <c r="G33" s="98"/>
      <c r="H33" s="98">
        <f t="shared" si="0"/>
        <v>1</v>
      </c>
    </row>
    <row r="34" spans="1:8" ht="30.75">
      <c r="A34" s="112" t="s">
        <v>1020</v>
      </c>
      <c r="B34" s="115" t="s">
        <v>996</v>
      </c>
      <c r="C34" s="112"/>
      <c r="D34" s="112">
        <v>1</v>
      </c>
      <c r="E34" s="112"/>
      <c r="F34" s="98"/>
      <c r="G34" s="98"/>
      <c r="H34" s="98">
        <f t="shared" si="0"/>
        <v>1</v>
      </c>
    </row>
    <row r="35" spans="1:8" ht="30.75">
      <c r="A35" s="112" t="s">
        <v>1021</v>
      </c>
      <c r="B35" s="115" t="s">
        <v>996</v>
      </c>
      <c r="C35" s="112"/>
      <c r="D35" s="112">
        <v>1</v>
      </c>
      <c r="E35" s="112"/>
      <c r="F35" s="98"/>
      <c r="G35" s="98"/>
      <c r="H35" s="98">
        <f t="shared" si="0"/>
        <v>1</v>
      </c>
    </row>
    <row r="36" spans="1:8" ht="30.75">
      <c r="A36" s="112" t="s">
        <v>956</v>
      </c>
      <c r="B36" s="115" t="s">
        <v>970</v>
      </c>
      <c r="C36" s="112">
        <v>0</v>
      </c>
      <c r="D36" s="112"/>
      <c r="E36" s="112"/>
      <c r="F36" s="98"/>
      <c r="G36" s="98"/>
      <c r="H36" s="98">
        <f t="shared" si="0"/>
        <v>0</v>
      </c>
    </row>
    <row r="37" spans="1:8" ht="45.75">
      <c r="A37" s="112" t="s">
        <v>957</v>
      </c>
      <c r="B37" s="115" t="s">
        <v>940</v>
      </c>
      <c r="C37" s="112"/>
      <c r="D37" s="112">
        <v>1</v>
      </c>
      <c r="E37" s="112"/>
      <c r="F37" s="98"/>
      <c r="G37" s="98"/>
      <c r="H37" s="98">
        <f t="shared" si="0"/>
        <v>1</v>
      </c>
    </row>
    <row r="38" spans="1:8" ht="45.75">
      <c r="A38" s="112" t="s">
        <v>958</v>
      </c>
      <c r="B38" s="115" t="s">
        <v>940</v>
      </c>
      <c r="C38" s="112">
        <v>0</v>
      </c>
      <c r="D38" s="112"/>
      <c r="E38" s="112"/>
      <c r="F38" s="98"/>
      <c r="G38" s="98"/>
      <c r="H38" s="98">
        <f t="shared" si="0"/>
        <v>0</v>
      </c>
    </row>
    <row r="39" spans="1:8" ht="30.75">
      <c r="A39" s="112" t="s">
        <v>959</v>
      </c>
      <c r="B39" s="115" t="s">
        <v>940</v>
      </c>
      <c r="C39" s="112">
        <v>0</v>
      </c>
      <c r="D39" s="112"/>
      <c r="E39" s="112"/>
      <c r="F39" s="98"/>
      <c r="G39" s="98"/>
      <c r="H39" s="98">
        <f t="shared" si="0"/>
        <v>0</v>
      </c>
    </row>
    <row r="40" spans="1:8" ht="45.75">
      <c r="A40" s="112" t="s">
        <v>960</v>
      </c>
      <c r="B40" s="115" t="s">
        <v>945</v>
      </c>
      <c r="C40" s="112"/>
      <c r="D40" s="112">
        <v>1</v>
      </c>
      <c r="E40" s="112"/>
      <c r="F40" s="98"/>
      <c r="G40" s="98"/>
      <c r="H40" s="98">
        <f t="shared" si="0"/>
        <v>1</v>
      </c>
    </row>
    <row r="41" spans="1:8" ht="30.75">
      <c r="A41" s="112" t="s">
        <v>961</v>
      </c>
      <c r="B41" s="115" t="s">
        <v>947</v>
      </c>
      <c r="C41" s="112"/>
      <c r="D41" s="112">
        <v>1</v>
      </c>
      <c r="E41" s="112"/>
      <c r="F41" s="98"/>
      <c r="G41" s="98"/>
      <c r="H41" s="98">
        <f t="shared" si="0"/>
        <v>1</v>
      </c>
    </row>
    <row r="42" spans="1:8">
      <c r="A42" s="112" t="s">
        <v>962</v>
      </c>
      <c r="B42" s="115" t="s">
        <v>947</v>
      </c>
      <c r="C42" s="112"/>
      <c r="D42" s="112"/>
      <c r="E42" s="112">
        <v>2</v>
      </c>
      <c r="F42" s="98"/>
      <c r="G42" s="98"/>
      <c r="H42" s="98">
        <f t="shared" si="0"/>
        <v>2</v>
      </c>
    </row>
    <row r="43" spans="1:8" ht="30.75">
      <c r="A43" s="112" t="s">
        <v>963</v>
      </c>
      <c r="B43" s="141" t="s">
        <v>949</v>
      </c>
      <c r="C43" s="119"/>
      <c r="D43" s="119"/>
      <c r="E43" s="119"/>
      <c r="F43" s="109"/>
      <c r="G43" s="109" t="s">
        <v>237</v>
      </c>
      <c r="H43" s="98">
        <f t="shared" si="0"/>
        <v>0</v>
      </c>
    </row>
    <row r="44" spans="1:8" ht="30.75">
      <c r="A44" s="112" t="s">
        <v>964</v>
      </c>
      <c r="B44" s="141" t="s">
        <v>949</v>
      </c>
      <c r="C44" s="112"/>
      <c r="D44" s="112"/>
      <c r="E44" s="112"/>
      <c r="F44" s="98"/>
      <c r="G44" s="109" t="s">
        <v>237</v>
      </c>
      <c r="H44" s="98">
        <f t="shared" si="0"/>
        <v>0</v>
      </c>
    </row>
  </sheetData>
  <mergeCells count="1">
    <mergeCell ref="A1:C1"/>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FDF6B-BD19-4198-A4AA-2EC2FD66C83D}">
  <dimension ref="A1:R45"/>
  <sheetViews>
    <sheetView topLeftCell="D6" workbookViewId="0">
      <selection activeCell="R10" sqref="R10:R16"/>
    </sheetView>
  </sheetViews>
  <sheetFormatPr defaultRowHeight="15"/>
  <cols>
    <col min="1" max="1" width="45.28515625" customWidth="1"/>
    <col min="2" max="2" width="36.28515625" customWidth="1"/>
    <col min="3" max="3" width="38.7109375" customWidth="1"/>
    <col min="4" max="4" width="33.140625" style="29" customWidth="1"/>
    <col min="5" max="5" width="21.5703125" style="29" customWidth="1"/>
    <col min="6" max="6" width="20.42578125" style="29" customWidth="1"/>
    <col min="16" max="16" width="37.140625" bestFit="1" customWidth="1"/>
    <col min="17" max="17" width="11.42578125" bestFit="1" customWidth="1"/>
    <col min="18" max="18" width="54" customWidth="1"/>
  </cols>
  <sheetData>
    <row r="1" spans="1:18" ht="18">
      <c r="A1" s="294" t="s">
        <v>1027</v>
      </c>
      <c r="B1" s="294"/>
      <c r="C1" s="294"/>
    </row>
    <row r="2" spans="1:18" ht="106.5">
      <c r="A2" s="126" t="s">
        <v>81</v>
      </c>
      <c r="B2" s="202" t="s">
        <v>808</v>
      </c>
      <c r="C2" s="193" t="s">
        <v>991</v>
      </c>
      <c r="D2" s="193" t="s">
        <v>992</v>
      </c>
      <c r="E2" s="193" t="s">
        <v>921</v>
      </c>
      <c r="F2" s="193" t="s">
        <v>678</v>
      </c>
      <c r="G2" s="203" t="s">
        <v>237</v>
      </c>
      <c r="H2" s="202" t="s">
        <v>464</v>
      </c>
    </row>
    <row r="3" spans="1:18">
      <c r="A3" s="112" t="s">
        <v>1023</v>
      </c>
      <c r="B3" s="98" t="s">
        <v>924</v>
      </c>
      <c r="C3" s="112"/>
      <c r="D3" s="112"/>
      <c r="E3" s="112">
        <v>2</v>
      </c>
      <c r="F3" s="112"/>
      <c r="G3" s="98"/>
      <c r="H3" s="98">
        <f>SUM(C3:G3)</f>
        <v>2</v>
      </c>
    </row>
    <row r="4" spans="1:18">
      <c r="A4" s="112" t="s">
        <v>1024</v>
      </c>
      <c r="B4" s="98" t="s">
        <v>924</v>
      </c>
      <c r="C4" s="112"/>
      <c r="D4" s="112"/>
      <c r="E4" s="112">
        <v>2</v>
      </c>
      <c r="F4" s="112"/>
      <c r="G4" s="98"/>
      <c r="H4" s="98">
        <f t="shared" ref="H4:H44" si="0">SUM(C4:G4)</f>
        <v>2</v>
      </c>
    </row>
    <row r="5" spans="1:18">
      <c r="A5" s="112" t="s">
        <v>1025</v>
      </c>
      <c r="B5" s="98" t="s">
        <v>924</v>
      </c>
      <c r="C5" s="112"/>
      <c r="D5" s="112"/>
      <c r="E5" s="112">
        <v>2</v>
      </c>
      <c r="F5" s="112"/>
      <c r="G5" s="98"/>
      <c r="H5" s="98">
        <f t="shared" si="0"/>
        <v>2</v>
      </c>
    </row>
    <row r="6" spans="1:18">
      <c r="A6" s="112" t="s">
        <v>1026</v>
      </c>
      <c r="B6" s="98" t="s">
        <v>924</v>
      </c>
      <c r="C6" s="112"/>
      <c r="D6" s="112"/>
      <c r="E6" s="112">
        <v>2</v>
      </c>
      <c r="F6" s="112"/>
      <c r="G6" s="98"/>
      <c r="H6" s="98">
        <f t="shared" si="0"/>
        <v>2</v>
      </c>
    </row>
    <row r="7" spans="1:18" ht="30.75">
      <c r="A7" s="112" t="s">
        <v>1028</v>
      </c>
      <c r="B7" s="98" t="s">
        <v>924</v>
      </c>
      <c r="C7" s="112"/>
      <c r="D7" s="112"/>
      <c r="E7" s="112">
        <v>2</v>
      </c>
      <c r="F7" s="112"/>
      <c r="G7" s="98"/>
      <c r="H7" s="98">
        <f t="shared" si="0"/>
        <v>2</v>
      </c>
    </row>
    <row r="8" spans="1:18" ht="30.75">
      <c r="A8" s="119" t="s">
        <v>1029</v>
      </c>
      <c r="B8" s="109" t="s">
        <v>924</v>
      </c>
      <c r="C8" s="112"/>
      <c r="D8" s="112"/>
      <c r="E8" s="112">
        <v>2</v>
      </c>
      <c r="F8" s="112"/>
      <c r="G8" s="98"/>
      <c r="H8" s="98">
        <f t="shared" si="0"/>
        <v>2</v>
      </c>
      <c r="P8" s="55" t="s">
        <v>808</v>
      </c>
      <c r="Q8" t="s">
        <v>953</v>
      </c>
    </row>
    <row r="9" spans="1:18" ht="30.75">
      <c r="A9" s="29" t="s">
        <v>1030</v>
      </c>
      <c r="B9" s="109" t="s">
        <v>924</v>
      </c>
      <c r="C9" s="112"/>
      <c r="D9" s="112"/>
      <c r="E9" s="112">
        <v>2</v>
      </c>
      <c r="F9" s="112"/>
      <c r="G9" s="98"/>
      <c r="H9" s="98">
        <f t="shared" si="0"/>
        <v>2</v>
      </c>
      <c r="P9" s="98" t="s">
        <v>924</v>
      </c>
      <c r="Q9" s="98">
        <v>18</v>
      </c>
      <c r="R9" s="98"/>
    </row>
    <row r="10" spans="1:18" ht="30.75">
      <c r="A10" s="29" t="s">
        <v>1031</v>
      </c>
      <c r="B10" s="109" t="s">
        <v>924</v>
      </c>
      <c r="C10" s="112"/>
      <c r="D10" s="112">
        <v>1</v>
      </c>
      <c r="E10" s="112"/>
      <c r="F10" s="112"/>
      <c r="G10" s="98"/>
      <c r="H10" s="98">
        <f t="shared" si="0"/>
        <v>1</v>
      </c>
      <c r="P10" s="98" t="s">
        <v>947</v>
      </c>
      <c r="Q10" s="98">
        <v>4</v>
      </c>
      <c r="R10" s="98" t="str">
        <f>IF(Q10&gt;3,"Family Depression : Yes","Family Depression : No")</f>
        <v>Family Depression : Yes</v>
      </c>
    </row>
    <row r="11" spans="1:18" ht="30.75">
      <c r="A11" s="29" t="s">
        <v>1032</v>
      </c>
      <c r="B11" s="109" t="s">
        <v>924</v>
      </c>
      <c r="C11" s="112"/>
      <c r="D11" s="112"/>
      <c r="E11" s="112">
        <v>2</v>
      </c>
      <c r="F11" s="112"/>
      <c r="G11" s="98"/>
      <c r="H11" s="98">
        <f t="shared" si="0"/>
        <v>2</v>
      </c>
      <c r="P11" s="98" t="s">
        <v>940</v>
      </c>
      <c r="Q11" s="98">
        <v>3</v>
      </c>
      <c r="R11" s="98" t="str">
        <f>IF(Q11&gt;=1,"Family Disorder : Yes","Family Disorder : NO")</f>
        <v>Family Disorder : Yes</v>
      </c>
    </row>
    <row r="12" spans="1:18" ht="30.75">
      <c r="A12" s="29" t="s">
        <v>1033</v>
      </c>
      <c r="B12" s="109" t="s">
        <v>924</v>
      </c>
      <c r="C12" s="112"/>
      <c r="D12" s="112">
        <v>1</v>
      </c>
      <c r="E12" s="112"/>
      <c r="F12" s="112"/>
      <c r="G12" s="98"/>
      <c r="H12" s="98">
        <f t="shared" si="0"/>
        <v>1</v>
      </c>
      <c r="P12" s="98" t="s">
        <v>949</v>
      </c>
      <c r="Q12" s="98">
        <v>3</v>
      </c>
      <c r="R12" s="98" t="str">
        <f>IF(Q12&gt;=1,"Family Domestic Violence : Yes","Family Domestic Violence : No")</f>
        <v>Family Domestic Violence : Yes</v>
      </c>
    </row>
    <row r="13" spans="1:18">
      <c r="A13" s="98" t="s">
        <v>1000</v>
      </c>
      <c r="B13" s="98" t="s">
        <v>998</v>
      </c>
      <c r="C13" s="112"/>
      <c r="D13" s="112">
        <v>1</v>
      </c>
      <c r="E13" s="112"/>
      <c r="F13" s="112"/>
      <c r="G13" s="98"/>
      <c r="H13" s="98">
        <f t="shared" si="0"/>
        <v>1</v>
      </c>
      <c r="P13" s="98" t="s">
        <v>945</v>
      </c>
      <c r="Q13" s="98">
        <v>1</v>
      </c>
      <c r="R13" s="98" t="str">
        <f>IF(Q13&gt;=1,"Family Insecurity : Yes","Family Insecurity : No")</f>
        <v>Family Insecurity : Yes</v>
      </c>
    </row>
    <row r="14" spans="1:18">
      <c r="A14" s="98" t="s">
        <v>1001</v>
      </c>
      <c r="B14" s="98" t="s">
        <v>998</v>
      </c>
      <c r="C14" s="112"/>
      <c r="D14" s="112">
        <v>1</v>
      </c>
      <c r="E14" s="112"/>
      <c r="F14" s="112"/>
      <c r="G14" s="98"/>
      <c r="H14" s="98">
        <f t="shared" si="0"/>
        <v>1</v>
      </c>
      <c r="P14" s="98" t="s">
        <v>970</v>
      </c>
      <c r="Q14" s="98">
        <v>0</v>
      </c>
      <c r="R14" s="98" t="str">
        <f>IF(Q14&gt;=1,"Tobacco Consume : Yes","Tobacco Consume : No")</f>
        <v>Tobacco Consume : No</v>
      </c>
    </row>
    <row r="15" spans="1:18" ht="30.75">
      <c r="A15" s="112" t="s">
        <v>1002</v>
      </c>
      <c r="B15" s="98" t="s">
        <v>998</v>
      </c>
      <c r="C15" s="112"/>
      <c r="D15" s="112">
        <v>1</v>
      </c>
      <c r="E15" s="112"/>
      <c r="F15" s="112"/>
      <c r="G15" s="98"/>
      <c r="H15" s="98">
        <f t="shared" si="0"/>
        <v>1</v>
      </c>
      <c r="P15" s="98" t="s">
        <v>996</v>
      </c>
      <c r="Q15" s="98">
        <v>2</v>
      </c>
      <c r="R15" s="98" t="str">
        <f>IF(Q15&gt;=3,"Parent’s Observations of Social Interactions : Need Review","Parent’s Observations of Social Interactions : Appear Ok")</f>
        <v>Parent’s Observations of Social Interactions : Appear Ok</v>
      </c>
    </row>
    <row r="16" spans="1:18">
      <c r="A16" s="98" t="s">
        <v>1003</v>
      </c>
      <c r="B16" s="98" t="s">
        <v>998</v>
      </c>
      <c r="C16" s="112"/>
      <c r="D16" s="112">
        <v>1</v>
      </c>
      <c r="E16" s="112"/>
      <c r="F16" s="112"/>
      <c r="G16" s="98"/>
      <c r="H16" s="98">
        <f t="shared" si="0"/>
        <v>1</v>
      </c>
      <c r="P16" s="98" t="s">
        <v>998</v>
      </c>
      <c r="Q16" s="98">
        <v>21</v>
      </c>
      <c r="R16" s="98" t="str">
        <f>IF(Q16&gt;=9,"Preschool Pediatric Symptom Checklist : Need Review","Preschool Pediatric Symptom Checklist : Appear ok")</f>
        <v>Preschool Pediatric Symptom Checklist : Need Review</v>
      </c>
    </row>
    <row r="17" spans="1:18" ht="30.75">
      <c r="A17" s="112" t="s">
        <v>1004</v>
      </c>
      <c r="B17" s="98" t="s">
        <v>998</v>
      </c>
      <c r="C17" s="112"/>
      <c r="D17" s="112">
        <v>1</v>
      </c>
      <c r="E17" s="112"/>
      <c r="F17" s="112"/>
      <c r="G17" s="98"/>
      <c r="H17" s="98">
        <f t="shared" si="0"/>
        <v>1</v>
      </c>
      <c r="P17" s="98" t="s">
        <v>346</v>
      </c>
      <c r="Q17" s="98"/>
      <c r="R17" s="98"/>
    </row>
    <row r="18" spans="1:18">
      <c r="A18" s="98" t="s">
        <v>1005</v>
      </c>
      <c r="B18" s="98" t="s">
        <v>998</v>
      </c>
      <c r="C18" s="112"/>
      <c r="D18" s="112">
        <v>1</v>
      </c>
      <c r="E18" s="112"/>
      <c r="F18" s="112"/>
      <c r="G18" s="98"/>
      <c r="H18" s="98">
        <f t="shared" si="0"/>
        <v>1</v>
      </c>
      <c r="P18" t="s">
        <v>347</v>
      </c>
      <c r="Q18">
        <v>52</v>
      </c>
    </row>
    <row r="19" spans="1:18">
      <c r="A19" s="98" t="s">
        <v>1006</v>
      </c>
      <c r="B19" s="98" t="s">
        <v>998</v>
      </c>
      <c r="C19" s="119"/>
      <c r="D19" s="112">
        <v>1</v>
      </c>
      <c r="E19" s="119"/>
      <c r="F19" s="119"/>
      <c r="G19" s="109"/>
      <c r="H19" s="98">
        <f t="shared" si="0"/>
        <v>1</v>
      </c>
    </row>
    <row r="20" spans="1:18">
      <c r="A20" s="112" t="s">
        <v>1007</v>
      </c>
      <c r="B20" s="115" t="s">
        <v>998</v>
      </c>
      <c r="C20" s="112"/>
      <c r="D20" s="112">
        <v>1</v>
      </c>
      <c r="E20" s="112"/>
      <c r="F20" s="112"/>
      <c r="G20" s="98"/>
      <c r="H20" s="98">
        <f t="shared" si="0"/>
        <v>1</v>
      </c>
    </row>
    <row r="21" spans="1:18">
      <c r="A21" s="112" t="s">
        <v>946</v>
      </c>
      <c r="B21" s="115" t="s">
        <v>998</v>
      </c>
      <c r="C21" s="112"/>
      <c r="D21" s="112">
        <v>1</v>
      </c>
      <c r="E21" s="112"/>
      <c r="F21" s="112"/>
      <c r="G21" s="98"/>
      <c r="H21" s="98">
        <f t="shared" si="0"/>
        <v>1</v>
      </c>
    </row>
    <row r="22" spans="1:18" ht="30.75">
      <c r="A22" s="112" t="s">
        <v>1008</v>
      </c>
      <c r="B22" s="115" t="s">
        <v>998</v>
      </c>
      <c r="C22" s="112"/>
      <c r="D22" s="112">
        <v>1</v>
      </c>
      <c r="E22" s="112"/>
      <c r="F22" s="112"/>
      <c r="G22" s="98"/>
      <c r="H22" s="98">
        <f t="shared" si="0"/>
        <v>1</v>
      </c>
    </row>
    <row r="23" spans="1:18">
      <c r="A23" s="112" t="s">
        <v>1009</v>
      </c>
      <c r="B23" s="115" t="s">
        <v>998</v>
      </c>
      <c r="C23" s="112"/>
      <c r="D23" s="112">
        <v>1</v>
      </c>
      <c r="E23" s="112"/>
      <c r="F23" s="112"/>
      <c r="G23" s="98"/>
      <c r="H23" s="98">
        <f t="shared" si="0"/>
        <v>1</v>
      </c>
    </row>
    <row r="24" spans="1:18">
      <c r="A24" s="112" t="s">
        <v>1010</v>
      </c>
      <c r="B24" s="115" t="s">
        <v>998</v>
      </c>
      <c r="C24" s="112"/>
      <c r="D24" s="112">
        <v>1</v>
      </c>
      <c r="E24" s="112"/>
      <c r="F24" s="112"/>
      <c r="G24" s="98"/>
      <c r="H24" s="98">
        <f t="shared" si="0"/>
        <v>1</v>
      </c>
    </row>
    <row r="25" spans="1:18">
      <c r="A25" s="112" t="s">
        <v>1011</v>
      </c>
      <c r="B25" s="115" t="s">
        <v>998</v>
      </c>
      <c r="C25" s="112"/>
      <c r="D25" s="112">
        <v>1</v>
      </c>
      <c r="E25" s="112"/>
      <c r="F25" s="112"/>
      <c r="G25" s="98"/>
      <c r="H25" s="98">
        <f t="shared" si="0"/>
        <v>1</v>
      </c>
    </row>
    <row r="26" spans="1:18">
      <c r="A26" s="112" t="s">
        <v>1012</v>
      </c>
      <c r="B26" s="115" t="s">
        <v>998</v>
      </c>
      <c r="C26" s="112"/>
      <c r="D26" s="112">
        <v>1</v>
      </c>
      <c r="E26" s="112"/>
      <c r="F26" s="112"/>
      <c r="G26" s="98"/>
      <c r="H26" s="98">
        <f t="shared" si="0"/>
        <v>1</v>
      </c>
    </row>
    <row r="27" spans="1:18">
      <c r="A27" s="112" t="s">
        <v>1013</v>
      </c>
      <c r="B27" s="115" t="s">
        <v>998</v>
      </c>
      <c r="C27" s="112"/>
      <c r="D27" s="112">
        <v>1</v>
      </c>
      <c r="E27" s="112"/>
      <c r="F27" s="112"/>
      <c r="G27" s="98"/>
      <c r="H27" s="98">
        <f t="shared" si="0"/>
        <v>1</v>
      </c>
    </row>
    <row r="28" spans="1:18">
      <c r="A28" s="112" t="s">
        <v>1014</v>
      </c>
      <c r="B28" s="115" t="s">
        <v>998</v>
      </c>
      <c r="C28" s="112"/>
      <c r="D28" s="112"/>
      <c r="E28" s="112">
        <v>2</v>
      </c>
      <c r="F28" s="112"/>
      <c r="G28" s="98"/>
      <c r="H28" s="98">
        <f t="shared" si="0"/>
        <v>2</v>
      </c>
    </row>
    <row r="29" spans="1:18" ht="30.75">
      <c r="A29" s="112" t="s">
        <v>1015</v>
      </c>
      <c r="B29" s="115" t="s">
        <v>998</v>
      </c>
      <c r="C29" s="112"/>
      <c r="D29" s="112"/>
      <c r="E29" s="112">
        <v>2</v>
      </c>
      <c r="F29" s="112"/>
      <c r="G29" s="98"/>
      <c r="H29" s="98">
        <f t="shared" si="0"/>
        <v>2</v>
      </c>
    </row>
    <row r="30" spans="1:18">
      <c r="A30" s="119" t="s">
        <v>1016</v>
      </c>
      <c r="B30" s="143" t="s">
        <v>998</v>
      </c>
      <c r="C30" s="112"/>
      <c r="D30" s="112"/>
      <c r="E30" s="112">
        <v>2</v>
      </c>
      <c r="F30" s="112"/>
      <c r="G30" s="98"/>
      <c r="H30" s="98">
        <f t="shared" si="0"/>
        <v>2</v>
      </c>
    </row>
    <row r="31" spans="1:18" ht="30.75">
      <c r="A31" s="112" t="s">
        <v>1017</v>
      </c>
      <c r="B31" s="115" t="s">
        <v>996</v>
      </c>
      <c r="C31" s="112">
        <v>0</v>
      </c>
      <c r="D31" s="112"/>
      <c r="E31" s="112"/>
      <c r="F31" s="112"/>
      <c r="G31" s="98"/>
      <c r="H31" s="98">
        <f t="shared" si="0"/>
        <v>0</v>
      </c>
    </row>
    <row r="32" spans="1:18" ht="30.75">
      <c r="A32" s="112" t="s">
        <v>1018</v>
      </c>
      <c r="B32" s="115" t="s">
        <v>996</v>
      </c>
      <c r="C32" s="112">
        <v>0</v>
      </c>
      <c r="D32" s="112"/>
      <c r="E32" s="112"/>
      <c r="F32" s="112"/>
      <c r="G32" s="98"/>
      <c r="H32" s="98">
        <f t="shared" si="0"/>
        <v>0</v>
      </c>
    </row>
    <row r="33" spans="1:8" ht="30.75">
      <c r="A33" s="112" t="s">
        <v>1019</v>
      </c>
      <c r="B33" s="115" t="s">
        <v>996</v>
      </c>
      <c r="C33" s="112">
        <v>0</v>
      </c>
      <c r="D33" s="112"/>
      <c r="E33" s="112"/>
      <c r="F33" s="112"/>
      <c r="G33" s="98"/>
      <c r="H33" s="98">
        <f t="shared" si="0"/>
        <v>0</v>
      </c>
    </row>
    <row r="34" spans="1:8" ht="30.75">
      <c r="A34" s="112" t="s">
        <v>1020</v>
      </c>
      <c r="B34" s="115" t="s">
        <v>996</v>
      </c>
      <c r="C34" s="112"/>
      <c r="D34" s="112">
        <v>1</v>
      </c>
      <c r="E34" s="112"/>
      <c r="F34" s="112"/>
      <c r="G34" s="98"/>
      <c r="H34" s="98">
        <f t="shared" si="0"/>
        <v>1</v>
      </c>
    </row>
    <row r="35" spans="1:8" ht="30.75">
      <c r="A35" s="112" t="s">
        <v>1021</v>
      </c>
      <c r="B35" s="115" t="s">
        <v>996</v>
      </c>
      <c r="C35" s="112"/>
      <c r="D35" s="112">
        <v>1</v>
      </c>
      <c r="E35" s="112"/>
      <c r="F35" s="112"/>
      <c r="G35" s="98"/>
      <c r="H35" s="98">
        <f t="shared" si="0"/>
        <v>1</v>
      </c>
    </row>
    <row r="36" spans="1:8">
      <c r="A36" s="112" t="s">
        <v>956</v>
      </c>
      <c r="B36" s="115" t="s">
        <v>970</v>
      </c>
      <c r="C36" s="112">
        <v>0</v>
      </c>
      <c r="D36" s="112"/>
      <c r="E36" s="112"/>
      <c r="F36" s="112"/>
      <c r="G36" s="98"/>
      <c r="H36" s="98">
        <f t="shared" si="0"/>
        <v>0</v>
      </c>
    </row>
    <row r="37" spans="1:8" ht="30.75">
      <c r="A37" s="112" t="s">
        <v>957</v>
      </c>
      <c r="B37" s="115" t="s">
        <v>940</v>
      </c>
      <c r="C37" s="112"/>
      <c r="D37" s="112">
        <v>1</v>
      </c>
      <c r="E37" s="112"/>
      <c r="F37" s="112"/>
      <c r="G37" s="98"/>
      <c r="H37" s="98">
        <f t="shared" si="0"/>
        <v>1</v>
      </c>
    </row>
    <row r="38" spans="1:8" ht="30.75">
      <c r="A38" s="112" t="s">
        <v>958</v>
      </c>
      <c r="B38" s="115" t="s">
        <v>940</v>
      </c>
      <c r="C38" s="112"/>
      <c r="D38" s="112">
        <v>1</v>
      </c>
      <c r="E38" s="112"/>
      <c r="F38" s="112"/>
      <c r="G38" s="98"/>
      <c r="H38" s="98">
        <f t="shared" si="0"/>
        <v>1</v>
      </c>
    </row>
    <row r="39" spans="1:8" ht="30.75">
      <c r="A39" s="112" t="s">
        <v>959</v>
      </c>
      <c r="B39" s="115" t="s">
        <v>940</v>
      </c>
      <c r="C39" s="112"/>
      <c r="D39" s="112">
        <v>1</v>
      </c>
      <c r="E39" s="112"/>
      <c r="F39" s="112"/>
      <c r="G39" s="98"/>
      <c r="H39" s="98">
        <f t="shared" si="0"/>
        <v>1</v>
      </c>
    </row>
    <row r="40" spans="1:8" ht="45.75">
      <c r="A40" s="112" t="s">
        <v>960</v>
      </c>
      <c r="B40" s="115" t="s">
        <v>945</v>
      </c>
      <c r="C40" s="112"/>
      <c r="D40" s="112">
        <v>1</v>
      </c>
      <c r="E40" s="112"/>
      <c r="F40" s="112"/>
      <c r="G40" s="98"/>
      <c r="H40" s="98">
        <f t="shared" si="0"/>
        <v>1</v>
      </c>
    </row>
    <row r="41" spans="1:8">
      <c r="A41" s="112" t="s">
        <v>961</v>
      </c>
      <c r="B41" s="115" t="s">
        <v>947</v>
      </c>
      <c r="C41" s="112"/>
      <c r="D41" s="112"/>
      <c r="E41" s="112">
        <v>2</v>
      </c>
      <c r="F41" s="112"/>
      <c r="G41" s="98"/>
      <c r="H41" s="98">
        <f t="shared" si="0"/>
        <v>2</v>
      </c>
    </row>
    <row r="42" spans="1:8">
      <c r="A42" s="112" t="s">
        <v>962</v>
      </c>
      <c r="B42" s="115" t="s">
        <v>947</v>
      </c>
      <c r="C42" s="112"/>
      <c r="D42" s="112"/>
      <c r="E42" s="112">
        <v>2</v>
      </c>
      <c r="F42" s="112"/>
      <c r="G42" s="98"/>
      <c r="H42" s="98">
        <f t="shared" si="0"/>
        <v>2</v>
      </c>
    </row>
    <row r="43" spans="1:8" ht="42.75" customHeight="1">
      <c r="A43" s="112" t="s">
        <v>963</v>
      </c>
      <c r="B43" s="141" t="s">
        <v>949</v>
      </c>
      <c r="C43" s="119"/>
      <c r="D43" s="119">
        <v>1</v>
      </c>
      <c r="E43" s="119"/>
      <c r="F43" s="119"/>
      <c r="G43" s="109"/>
      <c r="H43" s="98">
        <f t="shared" si="0"/>
        <v>1</v>
      </c>
    </row>
    <row r="44" spans="1:8" ht="48" customHeight="1">
      <c r="A44" s="112" t="s">
        <v>964</v>
      </c>
      <c r="B44" s="141" t="s">
        <v>949</v>
      </c>
      <c r="C44" s="112"/>
      <c r="D44" s="112"/>
      <c r="E44" s="112">
        <v>2</v>
      </c>
      <c r="F44" s="112"/>
      <c r="G44" s="109"/>
      <c r="H44" s="98">
        <f t="shared" si="0"/>
        <v>2</v>
      </c>
    </row>
    <row r="45" spans="1:8">
      <c r="A45" s="29"/>
      <c r="C45" s="29"/>
    </row>
  </sheetData>
  <mergeCells count="1">
    <mergeCell ref="A1:C1"/>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F73E4-4CF0-45F4-93F4-8AF5CF18E9A5}">
  <dimension ref="A1:S39"/>
  <sheetViews>
    <sheetView topLeftCell="J3" workbookViewId="0">
      <selection activeCell="S5" sqref="S5:S10"/>
    </sheetView>
  </sheetViews>
  <sheetFormatPr defaultRowHeight="15"/>
  <cols>
    <col min="1" max="1" width="35.7109375" customWidth="1"/>
    <col min="2" max="2" width="41" customWidth="1"/>
    <col min="3" max="3" width="57.42578125" style="29" customWidth="1"/>
    <col min="4" max="4" width="27.28515625" style="29" customWidth="1"/>
    <col min="5" max="5" width="26.28515625" style="29" customWidth="1"/>
    <col min="6" max="6" width="17.85546875" customWidth="1"/>
    <col min="17" max="17" width="37.140625" bestFit="1" customWidth="1"/>
    <col min="18" max="18" width="11.42578125" bestFit="1" customWidth="1"/>
    <col min="19" max="19" width="57.85546875" customWidth="1"/>
  </cols>
  <sheetData>
    <row r="1" spans="1:19" ht="18">
      <c r="A1" s="294" t="s">
        <v>1034</v>
      </c>
      <c r="B1" s="294"/>
      <c r="C1" s="294"/>
    </row>
    <row r="2" spans="1:19" ht="106.5">
      <c r="A2" s="129" t="s">
        <v>81</v>
      </c>
      <c r="B2" s="202" t="s">
        <v>808</v>
      </c>
      <c r="C2" s="193" t="s">
        <v>991</v>
      </c>
      <c r="D2" s="193" t="s">
        <v>992</v>
      </c>
      <c r="E2" s="193" t="s">
        <v>921</v>
      </c>
      <c r="F2" s="202" t="s">
        <v>678</v>
      </c>
      <c r="G2" s="203" t="s">
        <v>237</v>
      </c>
      <c r="H2" s="202" t="s">
        <v>464</v>
      </c>
    </row>
    <row r="3" spans="1:19" ht="30.75">
      <c r="A3" s="112" t="s">
        <v>1028</v>
      </c>
      <c r="B3" s="104" t="s">
        <v>924</v>
      </c>
      <c r="C3" s="112"/>
      <c r="D3" s="112">
        <v>1</v>
      </c>
      <c r="E3" s="112"/>
      <c r="F3" s="112"/>
      <c r="G3" s="98"/>
      <c r="H3" s="98">
        <f>SUM(C3:G3)</f>
        <v>1</v>
      </c>
      <c r="Q3" s="97" t="s">
        <v>808</v>
      </c>
      <c r="R3" s="98" t="s">
        <v>953</v>
      </c>
      <c r="S3" s="98"/>
    </row>
    <row r="4" spans="1:19" ht="30.75">
      <c r="A4" s="112" t="s">
        <v>1029</v>
      </c>
      <c r="B4" s="104" t="s">
        <v>924</v>
      </c>
      <c r="C4" s="112"/>
      <c r="D4" s="112">
        <v>1</v>
      </c>
      <c r="E4" s="112"/>
      <c r="F4" s="112"/>
      <c r="G4" s="98"/>
      <c r="H4" s="98">
        <f t="shared" ref="H4:H39" si="0">SUM(C4:G4)</f>
        <v>1</v>
      </c>
      <c r="Q4" s="98" t="s">
        <v>924</v>
      </c>
      <c r="R4" s="98">
        <v>7</v>
      </c>
      <c r="S4" s="98"/>
    </row>
    <row r="5" spans="1:19" ht="30.75">
      <c r="A5" s="112" t="s">
        <v>1030</v>
      </c>
      <c r="B5" s="104" t="s">
        <v>924</v>
      </c>
      <c r="C5" s="112"/>
      <c r="D5" s="112">
        <v>1</v>
      </c>
      <c r="E5" s="112"/>
      <c r="F5" s="112"/>
      <c r="G5" s="98"/>
      <c r="H5" s="98">
        <f t="shared" si="0"/>
        <v>1</v>
      </c>
      <c r="Q5" s="98" t="s">
        <v>947</v>
      </c>
      <c r="R5" s="98">
        <v>4</v>
      </c>
      <c r="S5" s="98" t="str">
        <f>IF(R5&gt;3,"Family Depression : Yes","Family Depression : No")</f>
        <v>Family Depression : Yes</v>
      </c>
    </row>
    <row r="6" spans="1:19" ht="30.75">
      <c r="A6" s="112" t="s">
        <v>1031</v>
      </c>
      <c r="B6" s="104" t="s">
        <v>924</v>
      </c>
      <c r="C6" s="112">
        <v>0</v>
      </c>
      <c r="D6" s="112"/>
      <c r="E6" s="112"/>
      <c r="F6" s="112"/>
      <c r="G6" s="98"/>
      <c r="H6" s="98">
        <f t="shared" si="0"/>
        <v>0</v>
      </c>
      <c r="Q6" s="98" t="s">
        <v>940</v>
      </c>
      <c r="R6" s="98">
        <v>3</v>
      </c>
      <c r="S6" s="98" t="str">
        <f>IF(R6&gt;=1,"Family Disorder : Yes","Family Disorder : NO")</f>
        <v>Family Disorder : Yes</v>
      </c>
    </row>
    <row r="7" spans="1:19" ht="30.75">
      <c r="A7" s="112" t="s">
        <v>1032</v>
      </c>
      <c r="B7" s="104" t="s">
        <v>924</v>
      </c>
      <c r="C7" s="112"/>
      <c r="D7" s="112">
        <v>1</v>
      </c>
      <c r="E7" s="112"/>
      <c r="F7" s="112"/>
      <c r="G7" s="98"/>
      <c r="H7" s="98">
        <f t="shared" si="0"/>
        <v>1</v>
      </c>
      <c r="Q7" s="98" t="s">
        <v>949</v>
      </c>
      <c r="R7" s="98">
        <v>2</v>
      </c>
      <c r="S7" s="98" t="str">
        <f>IF(R7&gt;=1,"Family Domestic Violence : Yes","Family Domestic Violence : No")</f>
        <v>Family Domestic Violence : Yes</v>
      </c>
    </row>
    <row r="8" spans="1:19" ht="45.75">
      <c r="A8" s="112" t="s">
        <v>1033</v>
      </c>
      <c r="B8" s="111" t="s">
        <v>924</v>
      </c>
      <c r="C8" s="112">
        <v>0</v>
      </c>
      <c r="D8" s="112"/>
      <c r="E8" s="112"/>
      <c r="F8" s="112"/>
      <c r="G8" s="98"/>
      <c r="H8" s="98">
        <f t="shared" si="0"/>
        <v>0</v>
      </c>
      <c r="Q8" s="98" t="s">
        <v>945</v>
      </c>
      <c r="R8" s="98">
        <v>1</v>
      </c>
      <c r="S8" s="98" t="str">
        <f>IF(R8&gt;=1,"Family Insecurity : Yes","Family Insecurity : No")</f>
        <v>Family Insecurity : Yes</v>
      </c>
    </row>
    <row r="9" spans="1:19">
      <c r="A9" s="98" t="s">
        <v>1035</v>
      </c>
      <c r="B9" s="111" t="s">
        <v>924</v>
      </c>
      <c r="C9" s="112"/>
      <c r="D9" s="112">
        <v>1</v>
      </c>
      <c r="E9" s="112"/>
      <c r="F9" s="112"/>
      <c r="G9" s="98"/>
      <c r="H9" s="98">
        <f t="shared" si="0"/>
        <v>1</v>
      </c>
      <c r="Q9" s="98" t="s">
        <v>970</v>
      </c>
      <c r="R9" s="98">
        <v>1</v>
      </c>
      <c r="S9" s="98" t="str">
        <f>IF(R9&gt;=1,"Tobacco Consume : Yes","Tobacco Consume : No")</f>
        <v>Tobacco Consume : Yes</v>
      </c>
    </row>
    <row r="10" spans="1:19" ht="30.75">
      <c r="A10" s="112" t="s">
        <v>1036</v>
      </c>
      <c r="B10" s="111" t="s">
        <v>924</v>
      </c>
      <c r="C10" s="112"/>
      <c r="D10" s="112">
        <v>1</v>
      </c>
      <c r="E10" s="112"/>
      <c r="F10" s="112"/>
      <c r="G10" s="98"/>
      <c r="H10" s="98">
        <f t="shared" si="0"/>
        <v>1</v>
      </c>
      <c r="Q10" s="98" t="s">
        <v>998</v>
      </c>
      <c r="R10" s="98">
        <v>18</v>
      </c>
      <c r="S10" s="98" t="str">
        <f>IF(R10&gt;=9,"Preschool Pediatric Symptom Checklist : Need Review","Preschool Pediatric Symptom Checklist : Appear ok")</f>
        <v>Preschool Pediatric Symptom Checklist : Need Review</v>
      </c>
    </row>
    <row r="11" spans="1:19" ht="30.75">
      <c r="A11" s="112" t="s">
        <v>1037</v>
      </c>
      <c r="B11" s="111" t="s">
        <v>924</v>
      </c>
      <c r="C11" s="112">
        <v>0</v>
      </c>
      <c r="D11" s="112"/>
      <c r="E11" s="112"/>
      <c r="F11" s="112"/>
      <c r="G11" s="98"/>
      <c r="H11" s="98">
        <f t="shared" si="0"/>
        <v>0</v>
      </c>
      <c r="Q11" s="98" t="s">
        <v>346</v>
      </c>
      <c r="R11" s="98"/>
      <c r="S11" s="98"/>
    </row>
    <row r="12" spans="1:19" ht="30.75">
      <c r="A12" s="112" t="s">
        <v>1038</v>
      </c>
      <c r="B12" s="111" t="s">
        <v>924</v>
      </c>
      <c r="C12" s="112"/>
      <c r="D12" s="112">
        <v>1</v>
      </c>
      <c r="E12" s="112"/>
      <c r="F12" s="112"/>
      <c r="G12" s="98"/>
      <c r="H12" s="98">
        <f t="shared" si="0"/>
        <v>1</v>
      </c>
      <c r="Q12" t="s">
        <v>347</v>
      </c>
      <c r="R12">
        <v>36</v>
      </c>
    </row>
    <row r="13" spans="1:19">
      <c r="A13" s="145" t="s">
        <v>1000</v>
      </c>
      <c r="B13" s="98" t="s">
        <v>998</v>
      </c>
      <c r="C13" s="112"/>
      <c r="D13" s="112">
        <v>1</v>
      </c>
      <c r="E13" s="112"/>
      <c r="F13" s="112"/>
      <c r="G13" s="98"/>
      <c r="H13" s="98">
        <f t="shared" si="0"/>
        <v>1</v>
      </c>
    </row>
    <row r="14" spans="1:19">
      <c r="A14" s="98" t="s">
        <v>1001</v>
      </c>
      <c r="B14" s="98" t="s">
        <v>998</v>
      </c>
      <c r="C14" s="112"/>
      <c r="D14" s="112">
        <v>1</v>
      </c>
      <c r="E14" s="112"/>
      <c r="F14" s="112"/>
      <c r="G14" s="98"/>
      <c r="H14" s="98">
        <f t="shared" si="0"/>
        <v>1</v>
      </c>
    </row>
    <row r="15" spans="1:19" ht="30.75">
      <c r="A15" s="112" t="s">
        <v>1002</v>
      </c>
      <c r="B15" s="98" t="s">
        <v>998</v>
      </c>
      <c r="C15" s="112"/>
      <c r="D15" s="112">
        <v>1</v>
      </c>
      <c r="E15" s="112"/>
      <c r="F15" s="112"/>
      <c r="G15" s="98"/>
      <c r="H15" s="98">
        <f t="shared" si="0"/>
        <v>1</v>
      </c>
    </row>
    <row r="16" spans="1:19">
      <c r="A16" s="98" t="s">
        <v>1003</v>
      </c>
      <c r="B16" s="98" t="s">
        <v>998</v>
      </c>
      <c r="C16" s="112"/>
      <c r="D16" s="112">
        <v>1</v>
      </c>
      <c r="E16" s="112"/>
      <c r="F16" s="112"/>
      <c r="G16" s="98"/>
      <c r="H16" s="98">
        <f t="shared" si="0"/>
        <v>1</v>
      </c>
    </row>
    <row r="17" spans="1:8" ht="30.75">
      <c r="A17" s="112" t="s">
        <v>1004</v>
      </c>
      <c r="B17" s="98" t="s">
        <v>998</v>
      </c>
      <c r="C17" s="112"/>
      <c r="D17" s="112">
        <v>1</v>
      </c>
      <c r="E17" s="112"/>
      <c r="F17" s="112"/>
      <c r="G17" s="98"/>
      <c r="H17" s="98">
        <f t="shared" si="0"/>
        <v>1</v>
      </c>
    </row>
    <row r="18" spans="1:8">
      <c r="A18" s="98" t="s">
        <v>1005</v>
      </c>
      <c r="B18" s="98" t="s">
        <v>998</v>
      </c>
      <c r="C18" s="112"/>
      <c r="D18" s="112">
        <v>1</v>
      </c>
      <c r="E18" s="112"/>
      <c r="F18" s="112"/>
      <c r="G18" s="98"/>
      <c r="H18" s="98">
        <f t="shared" si="0"/>
        <v>1</v>
      </c>
    </row>
    <row r="19" spans="1:8">
      <c r="A19" s="98" t="s">
        <v>1006</v>
      </c>
      <c r="B19" s="98" t="s">
        <v>998</v>
      </c>
      <c r="C19" s="119"/>
      <c r="D19" s="112">
        <v>1</v>
      </c>
      <c r="E19" s="119"/>
      <c r="F19" s="119"/>
      <c r="G19" s="109"/>
      <c r="H19" s="98">
        <f t="shared" si="0"/>
        <v>1</v>
      </c>
    </row>
    <row r="20" spans="1:8" ht="30.75">
      <c r="A20" s="112" t="s">
        <v>1007</v>
      </c>
      <c r="B20" s="115" t="s">
        <v>998</v>
      </c>
      <c r="C20" s="112"/>
      <c r="D20" s="112">
        <v>1</v>
      </c>
      <c r="E20" s="112"/>
      <c r="F20" s="112"/>
      <c r="G20" s="98"/>
      <c r="H20" s="98">
        <f t="shared" si="0"/>
        <v>1</v>
      </c>
    </row>
    <row r="21" spans="1:8" ht="30.75">
      <c r="A21" s="112" t="s">
        <v>946</v>
      </c>
      <c r="B21" s="115" t="s">
        <v>998</v>
      </c>
      <c r="C21" s="112"/>
      <c r="D21" s="112">
        <v>1</v>
      </c>
      <c r="E21" s="112"/>
      <c r="F21" s="112"/>
      <c r="G21" s="98"/>
      <c r="H21" s="98">
        <f t="shared" si="0"/>
        <v>1</v>
      </c>
    </row>
    <row r="22" spans="1:8" ht="30.75">
      <c r="A22" s="112" t="s">
        <v>1008</v>
      </c>
      <c r="B22" s="115" t="s">
        <v>998</v>
      </c>
      <c r="C22" s="112"/>
      <c r="D22" s="112">
        <v>1</v>
      </c>
      <c r="E22" s="112"/>
      <c r="F22" s="112"/>
      <c r="G22" s="98"/>
      <c r="H22" s="98">
        <f t="shared" si="0"/>
        <v>1</v>
      </c>
    </row>
    <row r="23" spans="1:8">
      <c r="A23" s="112" t="s">
        <v>1009</v>
      </c>
      <c r="B23" s="115" t="s">
        <v>998</v>
      </c>
      <c r="C23" s="112"/>
      <c r="D23" s="112">
        <v>1</v>
      </c>
      <c r="E23" s="112"/>
      <c r="F23" s="112"/>
      <c r="G23" s="98"/>
      <c r="H23" s="98">
        <f t="shared" si="0"/>
        <v>1</v>
      </c>
    </row>
    <row r="24" spans="1:8" ht="30.75">
      <c r="A24" s="112" t="s">
        <v>1010</v>
      </c>
      <c r="B24" s="115" t="s">
        <v>998</v>
      </c>
      <c r="C24" s="112"/>
      <c r="D24" s="112">
        <v>1</v>
      </c>
      <c r="E24" s="112"/>
      <c r="F24" s="112"/>
      <c r="G24" s="98"/>
      <c r="H24" s="98">
        <f t="shared" si="0"/>
        <v>1</v>
      </c>
    </row>
    <row r="25" spans="1:8">
      <c r="A25" s="112" t="s">
        <v>1011</v>
      </c>
      <c r="B25" s="115" t="s">
        <v>998</v>
      </c>
      <c r="C25" s="112"/>
      <c r="D25" s="112">
        <v>1</v>
      </c>
      <c r="E25" s="112"/>
      <c r="F25" s="112"/>
      <c r="G25" s="98"/>
      <c r="H25" s="98">
        <f t="shared" si="0"/>
        <v>1</v>
      </c>
    </row>
    <row r="26" spans="1:8" ht="30.75">
      <c r="A26" s="112" t="s">
        <v>1012</v>
      </c>
      <c r="B26" s="115" t="s">
        <v>998</v>
      </c>
      <c r="C26" s="112"/>
      <c r="D26" s="112">
        <v>1</v>
      </c>
      <c r="E26" s="112"/>
      <c r="F26" s="112"/>
      <c r="G26" s="98"/>
      <c r="H26" s="98">
        <f t="shared" si="0"/>
        <v>1</v>
      </c>
    </row>
    <row r="27" spans="1:8">
      <c r="A27" s="112" t="s">
        <v>1013</v>
      </c>
      <c r="B27" s="115" t="s">
        <v>998</v>
      </c>
      <c r="C27" s="112"/>
      <c r="D27" s="112">
        <v>1</v>
      </c>
      <c r="E27" s="112"/>
      <c r="F27" s="112"/>
      <c r="G27" s="98"/>
      <c r="H27" s="98">
        <f t="shared" si="0"/>
        <v>1</v>
      </c>
    </row>
    <row r="28" spans="1:8" ht="30.75">
      <c r="A28" s="112" t="s">
        <v>1014</v>
      </c>
      <c r="B28" s="115" t="s">
        <v>998</v>
      </c>
      <c r="C28" s="112"/>
      <c r="D28" s="112">
        <v>1</v>
      </c>
      <c r="E28" s="112"/>
      <c r="F28" s="112"/>
      <c r="G28" s="98"/>
      <c r="H28" s="98">
        <f t="shared" si="0"/>
        <v>1</v>
      </c>
    </row>
    <row r="29" spans="1:8" ht="30.75">
      <c r="A29" s="112" t="s">
        <v>1015</v>
      </c>
      <c r="B29" s="115" t="s">
        <v>998</v>
      </c>
      <c r="C29" s="112"/>
      <c r="D29" s="112">
        <v>1</v>
      </c>
      <c r="E29" s="112"/>
      <c r="F29" s="112"/>
      <c r="G29" s="98"/>
      <c r="H29" s="98">
        <f t="shared" si="0"/>
        <v>1</v>
      </c>
    </row>
    <row r="30" spans="1:8">
      <c r="A30" s="119" t="s">
        <v>1016</v>
      </c>
      <c r="B30" s="143" t="s">
        <v>998</v>
      </c>
      <c r="C30" s="112"/>
      <c r="D30" s="112">
        <v>1</v>
      </c>
      <c r="E30" s="112"/>
      <c r="F30" s="112"/>
      <c r="G30" s="98"/>
      <c r="H30" s="98">
        <f t="shared" si="0"/>
        <v>1</v>
      </c>
    </row>
    <row r="31" spans="1:8" ht="30.75">
      <c r="A31" s="112" t="s">
        <v>956</v>
      </c>
      <c r="B31" s="115" t="s">
        <v>970</v>
      </c>
      <c r="C31" s="112"/>
      <c r="D31" s="112">
        <v>1</v>
      </c>
      <c r="E31" s="112"/>
      <c r="F31" s="112"/>
      <c r="G31" s="98"/>
      <c r="H31" s="98">
        <f t="shared" si="0"/>
        <v>1</v>
      </c>
    </row>
    <row r="32" spans="1:8" ht="45.75">
      <c r="A32" s="112" t="s">
        <v>957</v>
      </c>
      <c r="B32" s="115" t="s">
        <v>940</v>
      </c>
      <c r="C32" s="112"/>
      <c r="D32" s="112">
        <v>1</v>
      </c>
      <c r="E32" s="112"/>
      <c r="F32" s="112"/>
      <c r="G32" s="98"/>
      <c r="H32" s="98">
        <f t="shared" si="0"/>
        <v>1</v>
      </c>
    </row>
    <row r="33" spans="1:8" ht="45.75">
      <c r="A33" s="112" t="s">
        <v>958</v>
      </c>
      <c r="B33" s="115" t="s">
        <v>940</v>
      </c>
      <c r="C33" s="112"/>
      <c r="D33" s="112">
        <v>1</v>
      </c>
      <c r="E33" s="112"/>
      <c r="F33" s="112"/>
      <c r="G33" s="98"/>
      <c r="H33" s="98">
        <f t="shared" si="0"/>
        <v>1</v>
      </c>
    </row>
    <row r="34" spans="1:8" ht="30.75">
      <c r="A34" s="112" t="s">
        <v>959</v>
      </c>
      <c r="B34" s="115" t="s">
        <v>940</v>
      </c>
      <c r="C34" s="112"/>
      <c r="D34" s="112">
        <v>1</v>
      </c>
      <c r="E34" s="112"/>
      <c r="F34" s="112"/>
      <c r="G34" s="98"/>
      <c r="H34" s="98">
        <f t="shared" si="0"/>
        <v>1</v>
      </c>
    </row>
    <row r="35" spans="1:8" ht="45.75">
      <c r="A35" s="112" t="s">
        <v>960</v>
      </c>
      <c r="B35" s="115" t="s">
        <v>945</v>
      </c>
      <c r="C35" s="112"/>
      <c r="D35" s="112">
        <v>1</v>
      </c>
      <c r="E35" s="112"/>
      <c r="F35" s="112"/>
      <c r="G35" s="98"/>
      <c r="H35" s="98">
        <f t="shared" si="0"/>
        <v>1</v>
      </c>
    </row>
    <row r="36" spans="1:8" ht="30.75">
      <c r="A36" s="112" t="s">
        <v>961</v>
      </c>
      <c r="B36" s="115" t="s">
        <v>947</v>
      </c>
      <c r="C36" s="112"/>
      <c r="D36" s="112"/>
      <c r="E36" s="112">
        <v>2</v>
      </c>
      <c r="F36" s="112"/>
      <c r="G36" s="98"/>
      <c r="H36" s="98">
        <f t="shared" si="0"/>
        <v>2</v>
      </c>
    </row>
    <row r="37" spans="1:8">
      <c r="A37" s="112" t="s">
        <v>962</v>
      </c>
      <c r="B37" s="115" t="s">
        <v>947</v>
      </c>
      <c r="C37" s="112"/>
      <c r="D37" s="112"/>
      <c r="E37" s="112">
        <v>2</v>
      </c>
      <c r="F37" s="112"/>
      <c r="G37" s="98"/>
      <c r="H37" s="98">
        <f t="shared" si="0"/>
        <v>2</v>
      </c>
    </row>
    <row r="38" spans="1:8" ht="45.75">
      <c r="A38" s="112" t="s">
        <v>963</v>
      </c>
      <c r="B38" s="141" t="s">
        <v>949</v>
      </c>
      <c r="C38" s="119"/>
      <c r="D38" s="119">
        <v>1</v>
      </c>
      <c r="E38" s="119"/>
      <c r="F38" s="119"/>
      <c r="G38" s="109"/>
      <c r="H38" s="98">
        <f t="shared" si="0"/>
        <v>1</v>
      </c>
    </row>
    <row r="39" spans="1:8" ht="30.75">
      <c r="A39" s="112" t="s">
        <v>964</v>
      </c>
      <c r="B39" s="141" t="s">
        <v>949</v>
      </c>
      <c r="C39" s="112"/>
      <c r="D39" s="112">
        <v>1</v>
      </c>
      <c r="E39" s="112"/>
      <c r="F39" s="112"/>
      <c r="G39" s="109"/>
      <c r="H39" s="98">
        <f t="shared" si="0"/>
        <v>1</v>
      </c>
    </row>
  </sheetData>
  <mergeCells count="1">
    <mergeCell ref="A1:C1"/>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4CEF0-CC3E-4209-B74C-35554375C0DB}">
  <dimension ref="A1:P39"/>
  <sheetViews>
    <sheetView topLeftCell="E2" workbookViewId="0">
      <selection activeCell="P6" sqref="P6:P11"/>
    </sheetView>
  </sheetViews>
  <sheetFormatPr defaultRowHeight="15"/>
  <cols>
    <col min="1" max="1" width="53.5703125" style="29" customWidth="1"/>
    <col min="2" max="2" width="52.28515625" style="29" customWidth="1"/>
    <col min="3" max="3" width="46.42578125" style="29" customWidth="1"/>
    <col min="4" max="4" width="23" style="29" customWidth="1"/>
    <col min="5" max="8" width="9.140625" style="29"/>
    <col min="14" max="14" width="37.140625" bestFit="1" customWidth="1"/>
    <col min="15" max="15" width="11.42578125" bestFit="1" customWidth="1"/>
    <col min="16" max="16" width="53.5703125" customWidth="1"/>
  </cols>
  <sheetData>
    <row r="1" spans="1:16" ht="18">
      <c r="A1" s="295" t="s">
        <v>1039</v>
      </c>
      <c r="B1" s="295"/>
      <c r="C1" s="295"/>
    </row>
    <row r="2" spans="1:16" ht="167.25" customHeight="1">
      <c r="A2" s="126" t="s">
        <v>81</v>
      </c>
      <c r="B2" s="193" t="s">
        <v>808</v>
      </c>
      <c r="C2" s="193" t="s">
        <v>991</v>
      </c>
      <c r="D2" s="193" t="s">
        <v>992</v>
      </c>
      <c r="E2" s="193" t="s">
        <v>921</v>
      </c>
      <c r="F2" s="193" t="s">
        <v>678</v>
      </c>
      <c r="G2" s="194" t="s">
        <v>237</v>
      </c>
      <c r="H2" s="193" t="s">
        <v>464</v>
      </c>
    </row>
    <row r="3" spans="1:16" ht="40.5" customHeight="1">
      <c r="A3" s="112" t="s">
        <v>1032</v>
      </c>
      <c r="B3" s="197" t="s">
        <v>924</v>
      </c>
      <c r="C3" s="112"/>
      <c r="D3" s="112">
        <v>1</v>
      </c>
      <c r="E3" s="112"/>
      <c r="F3" s="112"/>
      <c r="G3" s="112"/>
      <c r="H3" s="112">
        <f>SUM(C3:G3)</f>
        <v>1</v>
      </c>
    </row>
    <row r="4" spans="1:16" ht="30.75" customHeight="1">
      <c r="A4" s="112" t="s">
        <v>1033</v>
      </c>
      <c r="B4" s="205" t="s">
        <v>924</v>
      </c>
      <c r="C4" s="112"/>
      <c r="D4" s="112">
        <v>1</v>
      </c>
      <c r="E4" s="112"/>
      <c r="F4" s="112"/>
      <c r="G4" s="112"/>
      <c r="H4" s="112">
        <f t="shared" ref="H4:H39" si="0">SUM(C4:G4)</f>
        <v>1</v>
      </c>
      <c r="N4" s="55" t="s">
        <v>808</v>
      </c>
      <c r="O4" t="s">
        <v>953</v>
      </c>
    </row>
    <row r="5" spans="1:16" ht="31.5" customHeight="1">
      <c r="A5" s="112" t="s">
        <v>1035</v>
      </c>
      <c r="B5" s="205" t="s">
        <v>924</v>
      </c>
      <c r="C5" s="112"/>
      <c r="D5" s="112">
        <v>1</v>
      </c>
      <c r="E5" s="112"/>
      <c r="F5" s="112"/>
      <c r="G5" s="112"/>
      <c r="H5" s="112">
        <f t="shared" si="0"/>
        <v>1</v>
      </c>
      <c r="N5" s="98" t="s">
        <v>924</v>
      </c>
      <c r="O5" s="98">
        <v>8</v>
      </c>
      <c r="P5" s="98"/>
    </row>
    <row r="6" spans="1:16" ht="36" customHeight="1">
      <c r="A6" s="112" t="s">
        <v>1036</v>
      </c>
      <c r="B6" s="205" t="s">
        <v>924</v>
      </c>
      <c r="C6" s="112"/>
      <c r="D6" s="112">
        <v>1</v>
      </c>
      <c r="E6" s="112"/>
      <c r="F6" s="112"/>
      <c r="G6" s="112"/>
      <c r="H6" s="112">
        <f t="shared" si="0"/>
        <v>1</v>
      </c>
      <c r="N6" s="98" t="s">
        <v>947</v>
      </c>
      <c r="O6" s="98">
        <v>2</v>
      </c>
      <c r="P6" s="98" t="str">
        <f>IF(O6&gt;3,"Family Depression : Yes","Family Depression : No")</f>
        <v>Family Depression : No</v>
      </c>
    </row>
    <row r="7" spans="1:16" ht="33" customHeight="1">
      <c r="A7" s="112" t="s">
        <v>1037</v>
      </c>
      <c r="B7" s="205" t="s">
        <v>924</v>
      </c>
      <c r="C7" s="112"/>
      <c r="D7" s="112">
        <v>1</v>
      </c>
      <c r="E7" s="112"/>
      <c r="F7" s="112"/>
      <c r="G7" s="112"/>
      <c r="H7" s="112">
        <f t="shared" si="0"/>
        <v>1</v>
      </c>
      <c r="N7" s="98" t="s">
        <v>940</v>
      </c>
      <c r="O7" s="98">
        <v>3</v>
      </c>
      <c r="P7" s="98" t="str">
        <f>IF(O7&gt;=1,"Family Disorder : Yes","Family Disorder : NO")</f>
        <v>Family Disorder : Yes</v>
      </c>
    </row>
    <row r="8" spans="1:16" ht="27" customHeight="1">
      <c r="A8" s="119" t="s">
        <v>1038</v>
      </c>
      <c r="B8" s="205" t="s">
        <v>924</v>
      </c>
      <c r="C8" s="112"/>
      <c r="D8" s="112">
        <v>1</v>
      </c>
      <c r="E8" s="112"/>
      <c r="F8" s="112"/>
      <c r="G8" s="112"/>
      <c r="H8" s="112">
        <f t="shared" si="0"/>
        <v>1</v>
      </c>
      <c r="N8" s="98" t="s">
        <v>949</v>
      </c>
      <c r="O8" s="98">
        <v>2</v>
      </c>
      <c r="P8" s="98" t="str">
        <f>IF(O8&gt;=1,"Family Domestic Violence : Yes","Family Domestic Violence : No")</f>
        <v>Family Domestic Violence : Yes</v>
      </c>
    </row>
    <row r="9" spans="1:16" ht="30" customHeight="1">
      <c r="A9" s="112" t="s">
        <v>1040</v>
      </c>
      <c r="B9" s="205" t="s">
        <v>924</v>
      </c>
      <c r="C9" s="112"/>
      <c r="D9" s="112">
        <v>1</v>
      </c>
      <c r="E9" s="112"/>
      <c r="F9" s="112"/>
      <c r="G9" s="112"/>
      <c r="H9" s="112">
        <f t="shared" si="0"/>
        <v>1</v>
      </c>
      <c r="N9" s="98" t="s">
        <v>945</v>
      </c>
      <c r="O9" s="98">
        <v>0</v>
      </c>
      <c r="P9" s="98" t="str">
        <f>IF(O9&gt;=1,"Family Insecurity : Yes","Family Insecurity : No")</f>
        <v>Family Insecurity : No</v>
      </c>
    </row>
    <row r="10" spans="1:16" ht="19.5" customHeight="1">
      <c r="A10" s="112" t="s">
        <v>1041</v>
      </c>
      <c r="B10" s="205" t="s">
        <v>924</v>
      </c>
      <c r="C10" s="112"/>
      <c r="D10" s="112">
        <v>1</v>
      </c>
      <c r="E10" s="112"/>
      <c r="F10" s="112"/>
      <c r="G10" s="112"/>
      <c r="H10" s="112">
        <f t="shared" si="0"/>
        <v>1</v>
      </c>
      <c r="N10" s="98" t="s">
        <v>970</v>
      </c>
      <c r="O10" s="98">
        <v>1</v>
      </c>
      <c r="P10" s="98" t="str">
        <f>IF(O10&gt;=1,"Tobacco Consume : Yes","Tobacco Consume : No")</f>
        <v>Tobacco Consume : Yes</v>
      </c>
    </row>
    <row r="11" spans="1:16" ht="29.25" customHeight="1">
      <c r="A11" s="112" t="s">
        <v>1042</v>
      </c>
      <c r="B11" s="205" t="s">
        <v>924</v>
      </c>
      <c r="C11" s="112">
        <v>0</v>
      </c>
      <c r="D11" s="112"/>
      <c r="E11" s="112"/>
      <c r="F11" s="112"/>
      <c r="G11" s="112"/>
      <c r="H11" s="112">
        <f t="shared" si="0"/>
        <v>0</v>
      </c>
      <c r="N11" s="98" t="s">
        <v>998</v>
      </c>
      <c r="O11" s="98">
        <v>18</v>
      </c>
      <c r="P11" s="98" t="str">
        <f>IF(O11&gt;=9,"Preschool Pediatric Symptom Checklist : Need Review","Preschool Pediatric Symptom Checklist : Appear ok")</f>
        <v>Preschool Pediatric Symptom Checklist : Need Review</v>
      </c>
    </row>
    <row r="12" spans="1:16" ht="28.5" customHeight="1">
      <c r="A12" s="112" t="s">
        <v>1043</v>
      </c>
      <c r="B12" s="205" t="s">
        <v>924</v>
      </c>
      <c r="C12" s="112">
        <v>0</v>
      </c>
      <c r="D12" s="112"/>
      <c r="E12" s="112"/>
      <c r="F12" s="112"/>
      <c r="G12" s="112"/>
      <c r="H12" s="112">
        <f t="shared" si="0"/>
        <v>0</v>
      </c>
      <c r="N12" s="98" t="s">
        <v>346</v>
      </c>
      <c r="O12" s="98"/>
      <c r="P12" s="98"/>
    </row>
    <row r="13" spans="1:16">
      <c r="A13" s="168" t="s">
        <v>1000</v>
      </c>
      <c r="B13" s="112" t="s">
        <v>998</v>
      </c>
      <c r="C13" s="112"/>
      <c r="D13" s="112">
        <v>1</v>
      </c>
      <c r="E13" s="112"/>
      <c r="F13" s="112"/>
      <c r="G13" s="112"/>
      <c r="H13" s="112">
        <f t="shared" si="0"/>
        <v>1</v>
      </c>
      <c r="N13" t="s">
        <v>347</v>
      </c>
      <c r="O13">
        <v>34</v>
      </c>
    </row>
    <row r="14" spans="1:16">
      <c r="A14" s="112" t="s">
        <v>1001</v>
      </c>
      <c r="B14" s="112" t="s">
        <v>998</v>
      </c>
      <c r="C14" s="112"/>
      <c r="D14" s="112">
        <v>1</v>
      </c>
      <c r="E14" s="112"/>
      <c r="F14" s="112"/>
      <c r="G14" s="112"/>
      <c r="H14" s="112">
        <f t="shared" si="0"/>
        <v>1</v>
      </c>
    </row>
    <row r="15" spans="1:16">
      <c r="A15" s="112" t="s">
        <v>1002</v>
      </c>
      <c r="B15" s="112" t="s">
        <v>998</v>
      </c>
      <c r="C15" s="112"/>
      <c r="D15" s="112">
        <v>1</v>
      </c>
      <c r="E15" s="112"/>
      <c r="F15" s="112"/>
      <c r="G15" s="112"/>
      <c r="H15" s="112">
        <f t="shared" si="0"/>
        <v>1</v>
      </c>
    </row>
    <row r="16" spans="1:16">
      <c r="A16" s="112" t="s">
        <v>1003</v>
      </c>
      <c r="B16" s="112" t="s">
        <v>998</v>
      </c>
      <c r="C16" s="112"/>
      <c r="D16" s="112">
        <v>1</v>
      </c>
      <c r="E16" s="112"/>
      <c r="F16" s="112"/>
      <c r="G16" s="112"/>
      <c r="H16" s="112">
        <f t="shared" si="0"/>
        <v>1</v>
      </c>
    </row>
    <row r="17" spans="1:8">
      <c r="A17" s="112" t="s">
        <v>1004</v>
      </c>
      <c r="B17" s="112" t="s">
        <v>998</v>
      </c>
      <c r="C17" s="112">
        <v>0</v>
      </c>
      <c r="D17" s="112"/>
      <c r="E17" s="112"/>
      <c r="F17" s="112"/>
      <c r="G17" s="112"/>
      <c r="H17" s="112">
        <f t="shared" si="0"/>
        <v>0</v>
      </c>
    </row>
    <row r="18" spans="1:8">
      <c r="A18" s="112" t="s">
        <v>1005</v>
      </c>
      <c r="B18" s="112" t="s">
        <v>998</v>
      </c>
      <c r="C18" s="112">
        <v>0</v>
      </c>
      <c r="D18" s="112"/>
      <c r="E18" s="112"/>
      <c r="F18" s="112"/>
      <c r="G18" s="112"/>
      <c r="H18" s="112">
        <f t="shared" si="0"/>
        <v>0</v>
      </c>
    </row>
    <row r="19" spans="1:8">
      <c r="A19" s="112" t="s">
        <v>1006</v>
      </c>
      <c r="B19" s="112" t="s">
        <v>998</v>
      </c>
      <c r="C19" s="112">
        <v>0</v>
      </c>
      <c r="D19" s="112"/>
      <c r="E19" s="119"/>
      <c r="F19" s="119"/>
      <c r="G19" s="119"/>
      <c r="H19" s="112">
        <f t="shared" si="0"/>
        <v>0</v>
      </c>
    </row>
    <row r="20" spans="1:8">
      <c r="A20" s="112" t="s">
        <v>1007</v>
      </c>
      <c r="B20" s="141" t="s">
        <v>998</v>
      </c>
      <c r="C20" s="112">
        <v>0</v>
      </c>
      <c r="D20" s="112"/>
      <c r="E20" s="112"/>
      <c r="F20" s="112"/>
      <c r="G20" s="112"/>
      <c r="H20" s="112">
        <f t="shared" si="0"/>
        <v>0</v>
      </c>
    </row>
    <row r="21" spans="1:8">
      <c r="A21" s="112" t="s">
        <v>946</v>
      </c>
      <c r="B21" s="141" t="s">
        <v>998</v>
      </c>
      <c r="C21" s="112">
        <v>0</v>
      </c>
      <c r="D21" s="112"/>
      <c r="E21" s="112"/>
      <c r="F21" s="112"/>
      <c r="G21" s="112"/>
      <c r="H21" s="112">
        <f t="shared" si="0"/>
        <v>0</v>
      </c>
    </row>
    <row r="22" spans="1:8">
      <c r="A22" s="112" t="s">
        <v>1008</v>
      </c>
      <c r="B22" s="141" t="s">
        <v>998</v>
      </c>
      <c r="C22" s="112">
        <v>0</v>
      </c>
      <c r="D22" s="112"/>
      <c r="E22" s="112"/>
      <c r="F22" s="112"/>
      <c r="G22" s="112"/>
      <c r="H22" s="112">
        <f t="shared" si="0"/>
        <v>0</v>
      </c>
    </row>
    <row r="23" spans="1:8">
      <c r="A23" s="112" t="s">
        <v>1009</v>
      </c>
      <c r="B23" s="141" t="s">
        <v>998</v>
      </c>
      <c r="C23" s="112">
        <v>0</v>
      </c>
      <c r="D23" s="112"/>
      <c r="E23" s="112"/>
      <c r="F23" s="112"/>
      <c r="G23" s="112"/>
      <c r="H23" s="112">
        <f t="shared" si="0"/>
        <v>0</v>
      </c>
    </row>
    <row r="24" spans="1:8">
      <c r="A24" s="112" t="s">
        <v>1010</v>
      </c>
      <c r="B24" s="141" t="s">
        <v>998</v>
      </c>
      <c r="C24" s="112"/>
      <c r="D24" s="112"/>
      <c r="E24" s="112">
        <v>2</v>
      </c>
      <c r="F24" s="112"/>
      <c r="G24" s="112"/>
      <c r="H24" s="112">
        <f t="shared" si="0"/>
        <v>2</v>
      </c>
    </row>
    <row r="25" spans="1:8">
      <c r="A25" s="112" t="s">
        <v>1011</v>
      </c>
      <c r="B25" s="141" t="s">
        <v>998</v>
      </c>
      <c r="C25" s="112"/>
      <c r="D25" s="112"/>
      <c r="E25" s="112">
        <v>2</v>
      </c>
      <c r="F25" s="112"/>
      <c r="G25" s="112"/>
      <c r="H25" s="112">
        <f t="shared" si="0"/>
        <v>2</v>
      </c>
    </row>
    <row r="26" spans="1:8">
      <c r="A26" s="112" t="s">
        <v>1012</v>
      </c>
      <c r="B26" s="141" t="s">
        <v>998</v>
      </c>
      <c r="C26" s="112"/>
      <c r="D26" s="112"/>
      <c r="E26" s="112">
        <v>2</v>
      </c>
      <c r="F26" s="112"/>
      <c r="G26" s="112"/>
      <c r="H26" s="112">
        <f t="shared" si="0"/>
        <v>2</v>
      </c>
    </row>
    <row r="27" spans="1:8">
      <c r="A27" s="112" t="s">
        <v>1013</v>
      </c>
      <c r="B27" s="141" t="s">
        <v>998</v>
      </c>
      <c r="C27" s="112"/>
      <c r="D27" s="112"/>
      <c r="E27" s="112">
        <v>2</v>
      </c>
      <c r="F27" s="112"/>
      <c r="G27" s="112"/>
      <c r="H27" s="112">
        <f t="shared" si="0"/>
        <v>2</v>
      </c>
    </row>
    <row r="28" spans="1:8">
      <c r="A28" s="112" t="s">
        <v>1014</v>
      </c>
      <c r="B28" s="141" t="s">
        <v>998</v>
      </c>
      <c r="C28" s="112"/>
      <c r="D28" s="112"/>
      <c r="E28" s="112">
        <v>2</v>
      </c>
      <c r="F28" s="112"/>
      <c r="G28" s="112"/>
      <c r="H28" s="112">
        <f t="shared" si="0"/>
        <v>2</v>
      </c>
    </row>
    <row r="29" spans="1:8">
      <c r="A29" s="112" t="s">
        <v>1015</v>
      </c>
      <c r="B29" s="141" t="s">
        <v>998</v>
      </c>
      <c r="C29" s="112"/>
      <c r="D29" s="112"/>
      <c r="E29" s="112">
        <v>2</v>
      </c>
      <c r="F29" s="112"/>
      <c r="G29" s="112"/>
      <c r="H29" s="112">
        <f t="shared" si="0"/>
        <v>2</v>
      </c>
    </row>
    <row r="30" spans="1:8">
      <c r="A30" s="119" t="s">
        <v>1016</v>
      </c>
      <c r="B30" s="142" t="s">
        <v>998</v>
      </c>
      <c r="C30" s="112"/>
      <c r="D30" s="112"/>
      <c r="E30" s="112">
        <v>2</v>
      </c>
      <c r="F30" s="112"/>
      <c r="G30" s="112"/>
      <c r="H30" s="112">
        <f t="shared" si="0"/>
        <v>2</v>
      </c>
    </row>
    <row r="31" spans="1:8">
      <c r="A31" s="112" t="s">
        <v>956</v>
      </c>
      <c r="B31" s="141" t="s">
        <v>970</v>
      </c>
      <c r="C31" s="112"/>
      <c r="D31" s="112">
        <v>1</v>
      </c>
      <c r="E31" s="112"/>
      <c r="F31" s="112"/>
      <c r="G31" s="112"/>
      <c r="H31" s="112">
        <f t="shared" si="0"/>
        <v>1</v>
      </c>
    </row>
    <row r="32" spans="1:8" ht="30.75">
      <c r="A32" s="112" t="s">
        <v>957</v>
      </c>
      <c r="B32" s="141" t="s">
        <v>940</v>
      </c>
      <c r="C32" s="112"/>
      <c r="D32" s="112">
        <v>1</v>
      </c>
      <c r="E32" s="112"/>
      <c r="F32" s="112"/>
      <c r="G32" s="112"/>
      <c r="H32" s="112">
        <f t="shared" si="0"/>
        <v>1</v>
      </c>
    </row>
    <row r="33" spans="1:8" ht="30.75">
      <c r="A33" s="112" t="s">
        <v>958</v>
      </c>
      <c r="B33" s="141" t="s">
        <v>940</v>
      </c>
      <c r="C33" s="112"/>
      <c r="D33" s="112">
        <v>1</v>
      </c>
      <c r="E33" s="112"/>
      <c r="F33" s="112"/>
      <c r="G33" s="112"/>
      <c r="H33" s="112">
        <f t="shared" si="0"/>
        <v>1</v>
      </c>
    </row>
    <row r="34" spans="1:8" ht="30.75">
      <c r="A34" s="112" t="s">
        <v>959</v>
      </c>
      <c r="B34" s="141" t="s">
        <v>940</v>
      </c>
      <c r="C34" s="112"/>
      <c r="D34" s="112">
        <v>1</v>
      </c>
      <c r="E34" s="112"/>
      <c r="F34" s="112"/>
      <c r="G34" s="112"/>
      <c r="H34" s="112">
        <f t="shared" si="0"/>
        <v>1</v>
      </c>
    </row>
    <row r="35" spans="1:8" ht="30.75">
      <c r="A35" s="112" t="s">
        <v>960</v>
      </c>
      <c r="B35" s="141" t="s">
        <v>945</v>
      </c>
      <c r="C35" s="112">
        <v>0</v>
      </c>
      <c r="D35" s="112"/>
      <c r="E35" s="112"/>
      <c r="F35" s="112"/>
      <c r="G35" s="112"/>
      <c r="H35" s="112">
        <f t="shared" si="0"/>
        <v>0</v>
      </c>
    </row>
    <row r="36" spans="1:8">
      <c r="A36" s="112" t="s">
        <v>961</v>
      </c>
      <c r="B36" s="141" t="s">
        <v>947</v>
      </c>
      <c r="C36" s="112"/>
      <c r="D36" s="112">
        <v>1</v>
      </c>
      <c r="E36" s="112"/>
      <c r="F36" s="112"/>
      <c r="G36" s="112"/>
      <c r="H36" s="112">
        <f t="shared" si="0"/>
        <v>1</v>
      </c>
    </row>
    <row r="37" spans="1:8">
      <c r="A37" s="112" t="s">
        <v>962</v>
      </c>
      <c r="B37" s="141" t="s">
        <v>947</v>
      </c>
      <c r="C37" s="112"/>
      <c r="D37" s="112">
        <v>1</v>
      </c>
      <c r="E37" s="112"/>
      <c r="F37" s="112"/>
      <c r="G37" s="112"/>
      <c r="H37" s="112">
        <f t="shared" si="0"/>
        <v>1</v>
      </c>
    </row>
    <row r="38" spans="1:8" ht="30.75">
      <c r="A38" s="112" t="s">
        <v>963</v>
      </c>
      <c r="B38" s="141" t="s">
        <v>949</v>
      </c>
      <c r="C38" s="119"/>
      <c r="D38" s="112">
        <v>1</v>
      </c>
      <c r="E38" s="119"/>
      <c r="F38" s="119"/>
      <c r="G38" s="119"/>
      <c r="H38" s="112">
        <f t="shared" si="0"/>
        <v>1</v>
      </c>
    </row>
    <row r="39" spans="1:8">
      <c r="A39" s="112" t="s">
        <v>964</v>
      </c>
      <c r="B39" s="141" t="s">
        <v>949</v>
      </c>
      <c r="C39" s="112"/>
      <c r="D39" s="112">
        <v>1</v>
      </c>
      <c r="E39" s="112"/>
      <c r="F39" s="112"/>
      <c r="G39" s="119"/>
      <c r="H39" s="112">
        <f t="shared" si="0"/>
        <v>1</v>
      </c>
    </row>
  </sheetData>
  <mergeCells count="1">
    <mergeCell ref="A1:C1"/>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61276-15B5-4B24-A7E5-F230877A14C1}">
  <dimension ref="A1:Q39"/>
  <sheetViews>
    <sheetView topLeftCell="A3" workbookViewId="0">
      <selection activeCell="Q16" sqref="Q16"/>
    </sheetView>
  </sheetViews>
  <sheetFormatPr defaultRowHeight="15"/>
  <cols>
    <col min="1" max="1" width="53.5703125" style="29" customWidth="1"/>
    <col min="2" max="2" width="52.28515625" style="29" customWidth="1"/>
    <col min="3" max="3" width="46.42578125" style="29" customWidth="1"/>
    <col min="4" max="4" width="23" style="29" customWidth="1"/>
    <col min="5" max="8" width="9.140625" style="29"/>
    <col min="14" max="15" width="37.140625" bestFit="1" customWidth="1"/>
    <col min="16" max="16" width="11.42578125" customWidth="1"/>
    <col min="17" max="17" width="51.85546875" customWidth="1"/>
  </cols>
  <sheetData>
    <row r="1" spans="1:17" ht="18">
      <c r="A1" s="295" t="s">
        <v>1044</v>
      </c>
      <c r="B1" s="295"/>
      <c r="C1" s="295"/>
    </row>
    <row r="2" spans="1:17" ht="167.25" customHeight="1">
      <c r="A2" s="126" t="s">
        <v>81</v>
      </c>
      <c r="B2" s="193" t="s">
        <v>808</v>
      </c>
      <c r="C2" s="193" t="s">
        <v>991</v>
      </c>
      <c r="D2" s="193" t="s">
        <v>992</v>
      </c>
      <c r="E2" s="193" t="s">
        <v>921</v>
      </c>
      <c r="F2" s="193" t="s">
        <v>678</v>
      </c>
      <c r="G2" s="194" t="s">
        <v>237</v>
      </c>
      <c r="H2" s="193" t="s">
        <v>464</v>
      </c>
    </row>
    <row r="3" spans="1:17" ht="40.5" customHeight="1">
      <c r="A3" s="112" t="s">
        <v>1035</v>
      </c>
      <c r="B3" s="197" t="s">
        <v>924</v>
      </c>
      <c r="C3" s="112"/>
      <c r="D3" s="112">
        <v>1</v>
      </c>
      <c r="E3" s="112"/>
      <c r="F3" s="112"/>
      <c r="G3" s="112"/>
      <c r="H3" s="112">
        <f>SUM(C3:G3)</f>
        <v>1</v>
      </c>
    </row>
    <row r="4" spans="1:17" ht="30.75" customHeight="1">
      <c r="A4" s="112" t="s">
        <v>1036</v>
      </c>
      <c r="B4" s="205" t="s">
        <v>924</v>
      </c>
      <c r="C4" s="112"/>
      <c r="D4" s="112">
        <v>1</v>
      </c>
      <c r="E4" s="112"/>
      <c r="F4" s="112"/>
      <c r="G4" s="112"/>
      <c r="H4" s="112">
        <f t="shared" ref="H4:H39" si="0">SUM(C4:G4)</f>
        <v>1</v>
      </c>
      <c r="O4" s="55" t="s">
        <v>808</v>
      </c>
      <c r="P4" t="s">
        <v>953</v>
      </c>
    </row>
    <row r="5" spans="1:17" ht="31.5" customHeight="1">
      <c r="A5" s="112" t="s">
        <v>1037</v>
      </c>
      <c r="B5" s="205" t="s">
        <v>924</v>
      </c>
      <c r="C5" s="112">
        <v>0</v>
      </c>
      <c r="D5" s="112"/>
      <c r="E5" s="112"/>
      <c r="F5" s="112"/>
      <c r="G5" s="112"/>
      <c r="H5" s="112">
        <f t="shared" si="0"/>
        <v>0</v>
      </c>
      <c r="O5" s="98" t="s">
        <v>924</v>
      </c>
      <c r="P5" s="98">
        <v>9</v>
      </c>
      <c r="Q5" s="98"/>
    </row>
    <row r="6" spans="1:17" ht="36" customHeight="1">
      <c r="A6" s="119" t="s">
        <v>1038</v>
      </c>
      <c r="B6" s="205" t="s">
        <v>924</v>
      </c>
      <c r="C6" s="112"/>
      <c r="D6" s="112">
        <v>1</v>
      </c>
      <c r="E6" s="112"/>
      <c r="F6" s="112"/>
      <c r="G6" s="112"/>
      <c r="H6" s="112">
        <f t="shared" si="0"/>
        <v>1</v>
      </c>
      <c r="O6" s="98" t="s">
        <v>947</v>
      </c>
      <c r="P6" s="98">
        <v>3</v>
      </c>
      <c r="Q6" s="98" t="str">
        <f>IF(P6&gt;3,"Family Depression : Yes","Family Depression : No")</f>
        <v>Family Depression : No</v>
      </c>
    </row>
    <row r="7" spans="1:17" ht="33" customHeight="1">
      <c r="A7" s="112" t="s">
        <v>1040</v>
      </c>
      <c r="B7" s="205" t="s">
        <v>924</v>
      </c>
      <c r="C7" s="112"/>
      <c r="D7" s="112">
        <v>1</v>
      </c>
      <c r="E7" s="112"/>
      <c r="F7" s="112"/>
      <c r="G7" s="112"/>
      <c r="H7" s="112">
        <f t="shared" si="0"/>
        <v>1</v>
      </c>
      <c r="O7" s="98" t="s">
        <v>940</v>
      </c>
      <c r="P7" s="98">
        <v>3</v>
      </c>
      <c r="Q7" s="98" t="str">
        <f>IF(P7&gt;=1,"Family Disorder : Yes","Family Disorder : NO")</f>
        <v>Family Disorder : Yes</v>
      </c>
    </row>
    <row r="8" spans="1:17" ht="27" customHeight="1">
      <c r="A8" s="112" t="s">
        <v>1041</v>
      </c>
      <c r="B8" s="205" t="s">
        <v>924</v>
      </c>
      <c r="C8" s="112"/>
      <c r="D8" s="112">
        <v>1</v>
      </c>
      <c r="E8" s="112"/>
      <c r="F8" s="112"/>
      <c r="G8" s="112"/>
      <c r="H8" s="112">
        <f t="shared" si="0"/>
        <v>1</v>
      </c>
      <c r="O8" s="98" t="s">
        <v>949</v>
      </c>
      <c r="P8" s="98">
        <v>4</v>
      </c>
      <c r="Q8" s="98" t="str">
        <f>IF(P8&gt;=1,"Family Domestic Violence : Yes","Family Domestic Violence : No")</f>
        <v>Family Domestic Violence : Yes</v>
      </c>
    </row>
    <row r="9" spans="1:17" ht="30" customHeight="1">
      <c r="A9" s="112" t="s">
        <v>1042</v>
      </c>
      <c r="B9" s="205" t="s">
        <v>924</v>
      </c>
      <c r="C9" s="112"/>
      <c r="D9" s="112">
        <v>1</v>
      </c>
      <c r="E9" s="112"/>
      <c r="F9" s="112"/>
      <c r="G9" s="112"/>
      <c r="H9" s="112">
        <f t="shared" si="0"/>
        <v>1</v>
      </c>
      <c r="O9" s="98" t="s">
        <v>945</v>
      </c>
      <c r="P9" s="98">
        <v>1</v>
      </c>
      <c r="Q9" s="98" t="str">
        <f>IF(P9&gt;=1,"Family Insecurity : Yes","Family Insecurity : No")</f>
        <v>Family Insecurity : Yes</v>
      </c>
    </row>
    <row r="10" spans="1:17" ht="19.5" customHeight="1">
      <c r="A10" s="112" t="s">
        <v>1043</v>
      </c>
      <c r="B10" s="205" t="s">
        <v>924</v>
      </c>
      <c r="C10" s="112"/>
      <c r="D10" s="112">
        <v>1</v>
      </c>
      <c r="E10" s="112"/>
      <c r="F10" s="112"/>
      <c r="G10" s="112"/>
      <c r="H10" s="112">
        <f t="shared" si="0"/>
        <v>1</v>
      </c>
      <c r="O10" s="98" t="s">
        <v>970</v>
      </c>
      <c r="P10" s="98">
        <v>0</v>
      </c>
      <c r="Q10" s="98" t="str">
        <f>IF(P10&gt;=1,"Tobacco Consume : Yes","Tobacco Consume : No")</f>
        <v>Tobacco Consume : No</v>
      </c>
    </row>
    <row r="11" spans="1:17" ht="29.25" customHeight="1">
      <c r="A11" s="29" t="s">
        <v>1045</v>
      </c>
      <c r="B11" s="205" t="s">
        <v>924</v>
      </c>
      <c r="C11" s="112"/>
      <c r="D11" s="112">
        <v>1</v>
      </c>
      <c r="E11" s="112"/>
      <c r="F11" s="112"/>
      <c r="G11" s="112"/>
      <c r="H11" s="112">
        <f t="shared" si="0"/>
        <v>1</v>
      </c>
      <c r="O11" s="98" t="s">
        <v>998</v>
      </c>
      <c r="P11" s="98">
        <v>19</v>
      </c>
      <c r="Q11" s="98" t="str">
        <f>IF(P11&gt;=9,"Preschool Pediatric Symptom Checklist : Need Review","Preschool Pediatric Symptom Checklist : Appear ok")</f>
        <v>Preschool Pediatric Symptom Checklist : Need Review</v>
      </c>
    </row>
    <row r="12" spans="1:17" ht="28.5" customHeight="1">
      <c r="A12" s="29" t="s">
        <v>1046</v>
      </c>
      <c r="B12" s="205" t="s">
        <v>924</v>
      </c>
      <c r="C12" s="112"/>
      <c r="D12" s="112">
        <v>1</v>
      </c>
      <c r="E12" s="112"/>
      <c r="F12" s="112"/>
      <c r="G12" s="112"/>
      <c r="H12" s="112">
        <f t="shared" si="0"/>
        <v>1</v>
      </c>
      <c r="O12" s="98" t="s">
        <v>346</v>
      </c>
      <c r="P12" s="98"/>
      <c r="Q12" s="98"/>
    </row>
    <row r="13" spans="1:17">
      <c r="A13" s="168" t="s">
        <v>1000</v>
      </c>
      <c r="B13" s="112" t="s">
        <v>998</v>
      </c>
      <c r="C13" s="112"/>
      <c r="D13" s="112">
        <v>1</v>
      </c>
      <c r="E13" s="112"/>
      <c r="F13" s="112"/>
      <c r="G13" s="112"/>
      <c r="H13" s="112">
        <f t="shared" si="0"/>
        <v>1</v>
      </c>
      <c r="O13" t="s">
        <v>347</v>
      </c>
      <c r="P13">
        <v>39</v>
      </c>
    </row>
    <row r="14" spans="1:17">
      <c r="A14" s="112" t="s">
        <v>1001</v>
      </c>
      <c r="B14" s="112" t="s">
        <v>998</v>
      </c>
      <c r="C14" s="112"/>
      <c r="D14" s="112">
        <v>1</v>
      </c>
      <c r="E14" s="112"/>
      <c r="F14" s="112"/>
      <c r="G14" s="112"/>
      <c r="H14" s="112">
        <f t="shared" si="0"/>
        <v>1</v>
      </c>
    </row>
    <row r="15" spans="1:17">
      <c r="A15" s="112" t="s">
        <v>1002</v>
      </c>
      <c r="B15" s="112" t="s">
        <v>998</v>
      </c>
      <c r="C15" s="112"/>
      <c r="D15" s="112">
        <v>1</v>
      </c>
      <c r="E15" s="112"/>
      <c r="F15" s="112"/>
      <c r="G15" s="112"/>
      <c r="H15" s="112">
        <f t="shared" si="0"/>
        <v>1</v>
      </c>
    </row>
    <row r="16" spans="1:17">
      <c r="A16" s="112" t="s">
        <v>1003</v>
      </c>
      <c r="B16" s="112" t="s">
        <v>998</v>
      </c>
      <c r="C16" s="112"/>
      <c r="D16" s="112">
        <v>1</v>
      </c>
      <c r="E16" s="112"/>
      <c r="F16" s="112"/>
      <c r="G16" s="112"/>
      <c r="H16" s="112">
        <f t="shared" si="0"/>
        <v>1</v>
      </c>
    </row>
    <row r="17" spans="1:8">
      <c r="A17" s="112" t="s">
        <v>1004</v>
      </c>
      <c r="B17" s="112" t="s">
        <v>998</v>
      </c>
      <c r="C17" s="112"/>
      <c r="D17" s="112">
        <v>1</v>
      </c>
      <c r="E17" s="112"/>
      <c r="F17" s="112"/>
      <c r="G17" s="112"/>
      <c r="H17" s="112">
        <f t="shared" si="0"/>
        <v>1</v>
      </c>
    </row>
    <row r="18" spans="1:8">
      <c r="A18" s="112" t="s">
        <v>1005</v>
      </c>
      <c r="B18" s="112" t="s">
        <v>998</v>
      </c>
      <c r="C18" s="112">
        <v>0</v>
      </c>
      <c r="D18" s="112"/>
      <c r="E18" s="112"/>
      <c r="F18" s="112"/>
      <c r="G18" s="112"/>
      <c r="H18" s="112">
        <f t="shared" si="0"/>
        <v>0</v>
      </c>
    </row>
    <row r="19" spans="1:8">
      <c r="A19" s="112" t="s">
        <v>1006</v>
      </c>
      <c r="B19" s="112" t="s">
        <v>998</v>
      </c>
      <c r="C19" s="112">
        <v>0</v>
      </c>
      <c r="D19" s="112"/>
      <c r="E19" s="119"/>
      <c r="F19" s="119"/>
      <c r="G19" s="119"/>
      <c r="H19" s="112">
        <f t="shared" si="0"/>
        <v>0</v>
      </c>
    </row>
    <row r="20" spans="1:8">
      <c r="A20" s="112" t="s">
        <v>1007</v>
      </c>
      <c r="B20" s="141" t="s">
        <v>998</v>
      </c>
      <c r="C20" s="112">
        <v>0</v>
      </c>
      <c r="D20" s="112"/>
      <c r="E20" s="112"/>
      <c r="F20" s="112"/>
      <c r="G20" s="112"/>
      <c r="H20" s="112">
        <f t="shared" si="0"/>
        <v>0</v>
      </c>
    </row>
    <row r="21" spans="1:8">
      <c r="A21" s="112" t="s">
        <v>946</v>
      </c>
      <c r="B21" s="141" t="s">
        <v>998</v>
      </c>
      <c r="C21" s="112"/>
      <c r="D21" s="112">
        <v>1</v>
      </c>
      <c r="E21" s="112"/>
      <c r="F21" s="112"/>
      <c r="G21" s="112"/>
      <c r="H21" s="112">
        <f t="shared" si="0"/>
        <v>1</v>
      </c>
    </row>
    <row r="22" spans="1:8">
      <c r="A22" s="112" t="s">
        <v>1008</v>
      </c>
      <c r="B22" s="141" t="s">
        <v>998</v>
      </c>
      <c r="C22" s="112"/>
      <c r="D22" s="112">
        <v>1</v>
      </c>
      <c r="E22" s="112"/>
      <c r="F22" s="112"/>
      <c r="G22" s="112"/>
      <c r="H22" s="112">
        <f t="shared" si="0"/>
        <v>1</v>
      </c>
    </row>
    <row r="23" spans="1:8">
      <c r="A23" s="112" t="s">
        <v>1009</v>
      </c>
      <c r="B23" s="141" t="s">
        <v>998</v>
      </c>
      <c r="C23" s="112"/>
      <c r="D23" s="112">
        <v>1</v>
      </c>
      <c r="E23" s="112"/>
      <c r="F23" s="112"/>
      <c r="G23" s="112"/>
      <c r="H23" s="112">
        <f t="shared" si="0"/>
        <v>1</v>
      </c>
    </row>
    <row r="24" spans="1:8">
      <c r="A24" s="112" t="s">
        <v>1010</v>
      </c>
      <c r="B24" s="141" t="s">
        <v>998</v>
      </c>
      <c r="C24" s="112"/>
      <c r="D24" s="112">
        <v>1</v>
      </c>
      <c r="E24" s="112"/>
      <c r="F24" s="112"/>
      <c r="G24" s="112"/>
      <c r="H24" s="112">
        <f t="shared" si="0"/>
        <v>1</v>
      </c>
    </row>
    <row r="25" spans="1:8">
      <c r="A25" s="112" t="s">
        <v>1011</v>
      </c>
      <c r="B25" s="141" t="s">
        <v>998</v>
      </c>
      <c r="C25" s="112"/>
      <c r="D25" s="112"/>
      <c r="E25" s="112">
        <v>2</v>
      </c>
      <c r="F25" s="112"/>
      <c r="G25" s="112"/>
      <c r="H25" s="112">
        <f t="shared" si="0"/>
        <v>2</v>
      </c>
    </row>
    <row r="26" spans="1:8">
      <c r="A26" s="112" t="s">
        <v>1012</v>
      </c>
      <c r="B26" s="141" t="s">
        <v>998</v>
      </c>
      <c r="C26" s="112"/>
      <c r="D26" s="112"/>
      <c r="E26" s="112">
        <v>2</v>
      </c>
      <c r="F26" s="112"/>
      <c r="G26" s="112"/>
      <c r="H26" s="112">
        <f t="shared" si="0"/>
        <v>2</v>
      </c>
    </row>
    <row r="27" spans="1:8">
      <c r="A27" s="112" t="s">
        <v>1013</v>
      </c>
      <c r="B27" s="141" t="s">
        <v>998</v>
      </c>
      <c r="C27" s="112"/>
      <c r="D27" s="112"/>
      <c r="E27" s="112">
        <v>2</v>
      </c>
      <c r="F27" s="112"/>
      <c r="G27" s="112"/>
      <c r="H27" s="112">
        <f t="shared" si="0"/>
        <v>2</v>
      </c>
    </row>
    <row r="28" spans="1:8">
      <c r="A28" s="112" t="s">
        <v>1014</v>
      </c>
      <c r="B28" s="141" t="s">
        <v>998</v>
      </c>
      <c r="C28" s="112"/>
      <c r="D28" s="112"/>
      <c r="E28" s="112">
        <v>2</v>
      </c>
      <c r="F28" s="112"/>
      <c r="G28" s="112"/>
      <c r="H28" s="112">
        <f t="shared" si="0"/>
        <v>2</v>
      </c>
    </row>
    <row r="29" spans="1:8">
      <c r="A29" s="112" t="s">
        <v>1015</v>
      </c>
      <c r="B29" s="141" t="s">
        <v>998</v>
      </c>
      <c r="C29" s="112"/>
      <c r="D29" s="112">
        <v>1</v>
      </c>
      <c r="E29" s="112"/>
      <c r="F29" s="112"/>
      <c r="G29" s="112"/>
      <c r="H29" s="112">
        <f t="shared" si="0"/>
        <v>1</v>
      </c>
    </row>
    <row r="30" spans="1:8">
      <c r="A30" s="119" t="s">
        <v>1016</v>
      </c>
      <c r="B30" s="142" t="s">
        <v>998</v>
      </c>
      <c r="C30" s="112"/>
      <c r="D30" s="112">
        <v>1</v>
      </c>
      <c r="E30" s="112"/>
      <c r="F30" s="112"/>
      <c r="G30" s="112"/>
      <c r="H30" s="112">
        <f t="shared" si="0"/>
        <v>1</v>
      </c>
    </row>
    <row r="31" spans="1:8">
      <c r="A31" s="112" t="s">
        <v>956</v>
      </c>
      <c r="B31" s="141" t="s">
        <v>970</v>
      </c>
      <c r="C31" s="112">
        <v>0</v>
      </c>
      <c r="D31" s="112"/>
      <c r="E31" s="112"/>
      <c r="F31" s="112"/>
      <c r="G31" s="112"/>
      <c r="H31" s="112">
        <f t="shared" si="0"/>
        <v>0</v>
      </c>
    </row>
    <row r="32" spans="1:8" ht="30.75">
      <c r="A32" s="112" t="s">
        <v>957</v>
      </c>
      <c r="B32" s="141" t="s">
        <v>940</v>
      </c>
      <c r="C32" s="112"/>
      <c r="D32" s="112">
        <v>1</v>
      </c>
      <c r="E32" s="112"/>
      <c r="F32" s="112"/>
      <c r="G32" s="112"/>
      <c r="H32" s="112">
        <f t="shared" si="0"/>
        <v>1</v>
      </c>
    </row>
    <row r="33" spans="1:8" ht="30.75">
      <c r="A33" s="112" t="s">
        <v>958</v>
      </c>
      <c r="B33" s="141" t="s">
        <v>940</v>
      </c>
      <c r="C33" s="112"/>
      <c r="D33" s="112">
        <v>1</v>
      </c>
      <c r="E33" s="112"/>
      <c r="F33" s="112"/>
      <c r="G33" s="112"/>
      <c r="H33" s="112">
        <f t="shared" si="0"/>
        <v>1</v>
      </c>
    </row>
    <row r="34" spans="1:8" ht="30.75">
      <c r="A34" s="112" t="s">
        <v>959</v>
      </c>
      <c r="B34" s="141" t="s">
        <v>940</v>
      </c>
      <c r="C34" s="112"/>
      <c r="D34" s="112">
        <v>1</v>
      </c>
      <c r="E34" s="112"/>
      <c r="F34" s="112"/>
      <c r="G34" s="112"/>
      <c r="H34" s="112">
        <f t="shared" si="0"/>
        <v>1</v>
      </c>
    </row>
    <row r="35" spans="1:8" ht="30.75">
      <c r="A35" s="112" t="s">
        <v>960</v>
      </c>
      <c r="B35" s="141" t="s">
        <v>945</v>
      </c>
      <c r="C35" s="112"/>
      <c r="D35" s="112">
        <v>1</v>
      </c>
      <c r="E35" s="112"/>
      <c r="F35" s="112"/>
      <c r="G35" s="112"/>
      <c r="H35" s="112">
        <f t="shared" si="0"/>
        <v>1</v>
      </c>
    </row>
    <row r="36" spans="1:8">
      <c r="A36" s="112" t="s">
        <v>961</v>
      </c>
      <c r="B36" s="141" t="s">
        <v>947</v>
      </c>
      <c r="C36" s="112"/>
      <c r="D36" s="112"/>
      <c r="E36" s="112">
        <v>2</v>
      </c>
      <c r="F36" s="112"/>
      <c r="G36" s="112"/>
      <c r="H36" s="112">
        <f t="shared" si="0"/>
        <v>2</v>
      </c>
    </row>
    <row r="37" spans="1:8">
      <c r="A37" s="112" t="s">
        <v>962</v>
      </c>
      <c r="B37" s="141" t="s">
        <v>947</v>
      </c>
      <c r="C37" s="112"/>
      <c r="D37" s="112">
        <v>1</v>
      </c>
      <c r="E37" s="112"/>
      <c r="F37" s="112"/>
      <c r="G37" s="112"/>
      <c r="H37" s="112">
        <f t="shared" si="0"/>
        <v>1</v>
      </c>
    </row>
    <row r="38" spans="1:8" ht="30.75">
      <c r="A38" s="112" t="s">
        <v>963</v>
      </c>
      <c r="B38" s="141" t="s">
        <v>949</v>
      </c>
      <c r="C38" s="119"/>
      <c r="D38" s="112"/>
      <c r="E38" s="119">
        <v>2</v>
      </c>
      <c r="F38" s="119"/>
      <c r="G38" s="119"/>
      <c r="H38" s="112">
        <f t="shared" si="0"/>
        <v>2</v>
      </c>
    </row>
    <row r="39" spans="1:8">
      <c r="A39" s="112" t="s">
        <v>964</v>
      </c>
      <c r="B39" s="141" t="s">
        <v>949</v>
      </c>
      <c r="C39" s="112"/>
      <c r="D39" s="112"/>
      <c r="E39" s="112">
        <v>2</v>
      </c>
      <c r="F39" s="112"/>
      <c r="G39" s="119"/>
      <c r="H39" s="112">
        <f t="shared" si="0"/>
        <v>2</v>
      </c>
    </row>
  </sheetData>
  <mergeCells count="1">
    <mergeCell ref="A1:C1"/>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4284C-D059-4E27-9A17-4A45D8AAEEED}">
  <dimension ref="A1:B6"/>
  <sheetViews>
    <sheetView workbookViewId="0">
      <selection activeCell="K6" sqref="K6"/>
    </sheetView>
  </sheetViews>
  <sheetFormatPr defaultRowHeight="15"/>
  <cols>
    <col min="1" max="1" width="5.85546875" style="56" customWidth="1"/>
    <col min="2" max="2" width="36.5703125" style="56" bestFit="1" customWidth="1"/>
  </cols>
  <sheetData>
    <row r="1" spans="1:2">
      <c r="A1" s="208" t="s">
        <v>1</v>
      </c>
      <c r="B1" s="208" t="s">
        <v>1047</v>
      </c>
    </row>
    <row r="2" spans="1:2" ht="30.75">
      <c r="A2" s="209">
        <v>1</v>
      </c>
      <c r="B2" s="101" t="s">
        <v>1048</v>
      </c>
    </row>
    <row r="3" spans="1:2" ht="60.75">
      <c r="A3" s="209">
        <v>2</v>
      </c>
      <c r="B3" s="101" t="s">
        <v>1049</v>
      </c>
    </row>
    <row r="4" spans="1:2" ht="45.75">
      <c r="A4" s="209">
        <v>3</v>
      </c>
      <c r="B4" s="116" t="s">
        <v>1050</v>
      </c>
    </row>
    <row r="5" spans="1:2" ht="60.75">
      <c r="A5" s="210">
        <v>4</v>
      </c>
      <c r="B5" s="116" t="s">
        <v>1051</v>
      </c>
    </row>
    <row r="6" spans="1:2" ht="30.75">
      <c r="A6" s="209">
        <v>5</v>
      </c>
      <c r="B6" s="101" t="s">
        <v>1052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FCA9F70C8257EA48B9569912D1A46042" ma:contentTypeVersion="14" ma:contentTypeDescription="Create a new document." ma:contentTypeScope="" ma:versionID="52946fe25be666992e08932b74abe517">
  <xsd:schema xmlns:xsd="http://www.w3.org/2001/XMLSchema" xmlns:xs="http://www.w3.org/2001/XMLSchema" xmlns:p="http://schemas.microsoft.com/office/2006/metadata/properties" xmlns:ns2="c373863d-68f8-4dcb-abff-9d9f63cb0bd8" xmlns:ns3="b621c5e8-c5d0-43eb-8df3-64158fbeb8c2" targetNamespace="http://schemas.microsoft.com/office/2006/metadata/properties" ma:root="true" ma:fieldsID="2351623f9b38eb7ef1910cd9b1054134" ns2:_="" ns3:_="">
    <xsd:import namespace="c373863d-68f8-4dcb-abff-9d9f63cb0bd8"/>
    <xsd:import namespace="b621c5e8-c5d0-43eb-8df3-64158fbeb8c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73863d-68f8-4dcb-abff-9d9f63cb0b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8807be1-8462-4095-ad90-c25bfe4c2010"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621c5e8-c5d0-43eb-8df3-64158fbeb8c2"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b3dfb0b-acca-4193-b296-9427f937bd6d}" ma:internalName="TaxCatchAll" ma:showField="CatchAllData" ma:web="b621c5e8-c5d0-43eb-8df3-64158fbeb8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b621c5e8-c5d0-43eb-8df3-64158fbeb8c2" xsi:nil="true"/>
    <lcf76f155ced4ddcb4097134ff3c332f xmlns="c373863d-68f8-4dcb-abff-9d9f63cb0b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7AECC46-9A44-46B1-85CF-5FD8A41167C2}"/>
</file>

<file path=customXml/itemProps2.xml><?xml version="1.0" encoding="utf-8"?>
<ds:datastoreItem xmlns:ds="http://schemas.openxmlformats.org/officeDocument/2006/customXml" ds:itemID="{26E005C9-20DE-496E-80F3-DBD163299547}"/>
</file>

<file path=customXml/itemProps3.xml><?xml version="1.0" encoding="utf-8"?>
<ds:datastoreItem xmlns:ds="http://schemas.openxmlformats.org/officeDocument/2006/customXml" ds:itemID="{C76737C9-088D-47DE-814A-7BA948719791}"/>
</file>

<file path=customXml/itemProps4.xml><?xml version="1.0" encoding="utf-8"?>
<ds:datastoreItem xmlns:ds="http://schemas.openxmlformats.org/officeDocument/2006/customXml" ds:itemID="{F0A0E156-743F-4205-A497-74F5D81153F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PUJA BANSODE</dc:creator>
  <cp:keywords/>
  <dc:description/>
  <cp:lastModifiedBy>PUJA BANSODE</cp:lastModifiedBy>
  <cp:revision/>
  <dcterms:created xsi:type="dcterms:W3CDTF">2024-02-23T12:20:25Z</dcterms:created>
  <dcterms:modified xsi:type="dcterms:W3CDTF">2025-07-11T11:02:06Z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0x010100FCA9F70C8257EA48B9569912D1A46042</vt:lpwstr>
  </property>
  <property fmtid="{D5CDD505-2E9C-101B-9397-08002B2CF9AE}" pid="3" name="MediaServiceImageTags">
    <vt:lpwstr/>
  </property>
</Properties>
</file>